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slicers/slicer2.xml" ContentType="application/vnd.ms-excel.slicer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filterPrivacy="1" codeName="EstaPastaDeTrabalho" hidePivotFieldList="1"/>
  <xr:revisionPtr revIDLastSave="0" documentId="8_{C02B61D7-69FE-4B65-B492-55DF6E4FB25D}" xr6:coauthVersionLast="47" xr6:coauthVersionMax="47" xr10:uidLastSave="{00000000-0000-0000-0000-000000000000}"/>
  <bookViews>
    <workbookView xWindow="-120" yWindow="-120" windowWidth="38640" windowHeight="21120" xr2:uid="{10AC0F5E-A229-4ACB-BBFE-FDC59F45848F}"/>
  </bookViews>
  <sheets>
    <sheet name="DASHBOARD" sheetId="3" r:id="rId1"/>
    <sheet name="LANCAMENTOS" sheetId="1" r:id="rId2"/>
    <sheet name="EMPRESTIMOS" sheetId="9" r:id="rId3"/>
    <sheet name="ANALISES" sheetId="5" r:id="rId4"/>
    <sheet name="Listas" sheetId="11" state="hidden" r:id="rId5"/>
  </sheets>
  <definedNames>
    <definedName name="_xleta.TODAY" hidden="1" xlm="1">#NAME?</definedName>
    <definedName name="ListaCategoria">Listas!$A$2:$A$200</definedName>
    <definedName name="ListaPessoas">Listas!$B$2:$B$200</definedName>
    <definedName name="SegmentaçãodeDados_MÊS_REF">#N/A</definedName>
    <definedName name="SegmentaçãodeDados_MÊS_REF1">#N/A</definedName>
    <definedName name="SegmentaçãodeDados_Status_Pgto">#N/A</definedName>
    <definedName name="SegmentaçãodeDados_Status_Pgto1">#N/A</definedName>
    <definedName name="Tb_cartoes">ANALISES!$AN$8:$AO$13</definedName>
    <definedName name="tb_lancamentos">BaseLanc[#All]</definedName>
    <definedName name="tBase">BaseLanc[]</definedName>
    <definedName name="TIPO">BaseLanc[TIPO]</definedName>
  </definedNames>
  <calcPr calcId="191029"/>
  <pivotCaches>
    <pivotCache cacheId="0" r:id="rId6"/>
    <pivotCache cacheId="1" r:id="rId7"/>
    <pivotCache cacheId="2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1"/>
        <x14:slicerCache r:id="rId12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4" i="5" l="1"/>
  <c r="D9" i="9"/>
  <c r="C9" i="9"/>
  <c r="C18" i="9"/>
  <c r="C17" i="9"/>
  <c r="C16" i="9"/>
  <c r="C15" i="9"/>
  <c r="C14" i="9"/>
  <c r="C13" i="9"/>
  <c r="AW7" i="5" s="1"/>
  <c r="AC6" i="5"/>
  <c r="AB6" i="5"/>
  <c r="Q56" i="5"/>
  <c r="Q52" i="5"/>
  <c r="Q53" i="5"/>
  <c r="Q55" i="5"/>
  <c r="Q57" i="5" s="1"/>
  <c r="AW8" i="5" l="1"/>
  <c r="AX7" i="5"/>
  <c r="AW9" i="5" l="1"/>
  <c r="AX9" i="5" s="1"/>
  <c r="AX8" i="5"/>
</calcChain>
</file>

<file path=xl/sharedStrings.xml><?xml version="1.0" encoding="utf-8"?>
<sst xmlns="http://schemas.openxmlformats.org/spreadsheetml/2006/main" count="764" uniqueCount="120">
  <si>
    <t>Meu Controle Financeiro</t>
  </si>
  <si>
    <t>DT Compra</t>
  </si>
  <si>
    <t>DT Venc</t>
  </si>
  <si>
    <t>MÊS REF</t>
  </si>
  <si>
    <t>TIPO</t>
  </si>
  <si>
    <t>Categoria</t>
  </si>
  <si>
    <t>VlrReceita</t>
  </si>
  <si>
    <t>VlrDespesa</t>
  </si>
  <si>
    <t>Descricao</t>
  </si>
  <si>
    <t>Pessoa</t>
  </si>
  <si>
    <t>Status Pgto</t>
  </si>
  <si>
    <t>Obs (OPCIONAL)</t>
  </si>
  <si>
    <t>PRI</t>
  </si>
  <si>
    <t>RECEITA</t>
  </si>
  <si>
    <t>(R) SALARIO</t>
  </si>
  <si>
    <t>Previsto</t>
  </si>
  <si>
    <t>(R) EXTRA</t>
  </si>
  <si>
    <t>(R) BONUS</t>
  </si>
  <si>
    <t>Realizado</t>
  </si>
  <si>
    <t>INVEST</t>
  </si>
  <si>
    <t>DESPESA</t>
  </si>
  <si>
    <t>(D) ASSINATURAS</t>
  </si>
  <si>
    <t>(D) CARTAO DE CREDITO</t>
  </si>
  <si>
    <t>(D) MORADIA - AGUA</t>
  </si>
  <si>
    <t>(D) MORADIA - INTERNET</t>
  </si>
  <si>
    <t>(D) MORADIA - ENERGIA</t>
  </si>
  <si>
    <t>(D) CELULAR</t>
  </si>
  <si>
    <t>(D) CONDOMINIO</t>
  </si>
  <si>
    <t>(I) INVESTIMENTO</t>
  </si>
  <si>
    <t>EMPRESTIMOS EVOLUÇÃO MENSAL</t>
  </si>
  <si>
    <t>Consignado</t>
  </si>
  <si>
    <t>Sld Dev Atual</t>
  </si>
  <si>
    <t>DATA</t>
  </si>
  <si>
    <t>PRAZO(m)</t>
  </si>
  <si>
    <t>Vlr.Prest</t>
  </si>
  <si>
    <t>TAXA(a.m)</t>
  </si>
  <si>
    <t>Vlr LIQ</t>
  </si>
  <si>
    <t>Sld Devedor</t>
  </si>
  <si>
    <t>DESCRIÇÃO</t>
  </si>
  <si>
    <t>CONSIGNADO</t>
  </si>
  <si>
    <t>VALOR CARTAO</t>
  </si>
  <si>
    <t>DIST DE RECEITAS</t>
  </si>
  <si>
    <t>Status Percentual</t>
  </si>
  <si>
    <t>Soma de Sld Devedor</t>
  </si>
  <si>
    <t>Periodo</t>
  </si>
  <si>
    <t>Total</t>
  </si>
  <si>
    <t>Soma de VlrReceita</t>
  </si>
  <si>
    <t>PercReceita</t>
  </si>
  <si>
    <t>DIST DE DESPESAS %</t>
  </si>
  <si>
    <t>DIST DE DESPESAS VLR</t>
  </si>
  <si>
    <t>STATUS PAGAMENTO RECEITAS</t>
  </si>
  <si>
    <t>INVESTIMENTOS</t>
  </si>
  <si>
    <t>CARTOES DE CREDITO</t>
  </si>
  <si>
    <t>TOTAL RECEITAS</t>
  </si>
  <si>
    <t>TOTAL DESPESAS</t>
  </si>
  <si>
    <t>SALDO</t>
  </si>
  <si>
    <t>Soma de PercDespesa</t>
  </si>
  <si>
    <t>Soma de VlrDespesa</t>
  </si>
  <si>
    <t>1</t>
  </si>
  <si>
    <t>Soma de Saldo</t>
  </si>
  <si>
    <t>ANALISE RECEITAS VS DESPESAS</t>
  </si>
  <si>
    <t>Total de Receitas</t>
  </si>
  <si>
    <t>Total de Despesas</t>
  </si>
  <si>
    <t>Pago</t>
  </si>
  <si>
    <t>Falta Pagar</t>
  </si>
  <si>
    <t>Saldo</t>
  </si>
  <si>
    <t>Listas usadas nas validacoes de LANCAMENTOS (edite aqui para incluir novos itens)</t>
  </si>
  <si>
    <t>Row Labels</t>
  </si>
  <si>
    <t>Grand Total</t>
  </si>
  <si>
    <t>Column Labels</t>
  </si>
  <si>
    <t>Salario mensal</t>
  </si>
  <si>
    <t>Marina Souza</t>
  </si>
  <si>
    <t>Alta</t>
  </si>
  <si>
    <t>Alex Moreira</t>
  </si>
  <si>
    <t>Bonus semestral</t>
  </si>
  <si>
    <t>Valor liquido</t>
  </si>
  <si>
    <t>Media</t>
  </si>
  <si>
    <t>Projeto freelance</t>
  </si>
  <si>
    <t>(R) RENDIMENTOS</t>
  </si>
  <si>
    <t>Rendimentos da carteira</t>
  </si>
  <si>
    <t>Familia</t>
  </si>
  <si>
    <t>Baixa</t>
  </si>
  <si>
    <t>Aporte mensal - renda fixa</t>
  </si>
  <si>
    <t>Reserva de emergencia</t>
  </si>
  <si>
    <t>(D) ALIMENTACAO</t>
  </si>
  <si>
    <t>Supermercado</t>
  </si>
  <si>
    <t>Compra do mes</t>
  </si>
  <si>
    <t>Streaming de video</t>
  </si>
  <si>
    <t>(D) EMPRESTIMOS</t>
  </si>
  <si>
    <t>Parcela financiamento veiculo</t>
  </si>
  <si>
    <t>Parcela fixa</t>
  </si>
  <si>
    <t>Parcela consignado</t>
  </si>
  <si>
    <t>Desconto em folha</t>
  </si>
  <si>
    <t>Streaming de musica</t>
  </si>
  <si>
    <t>(D) TRANSPORTE</t>
  </si>
  <si>
    <t>Combustivel</t>
  </si>
  <si>
    <t>(D) RESTAURANTES</t>
  </si>
  <si>
    <t>Jantar fim de semana</t>
  </si>
  <si>
    <t>(D) SAUDE</t>
  </si>
  <si>
    <t>Plano de saude</t>
  </si>
  <si>
    <t>Armazenamento em nuvem</t>
  </si>
  <si>
    <t>(D) EDUCACAO</t>
  </si>
  <si>
    <t>Curso de ingles</t>
  </si>
  <si>
    <t>(D) MORADIA - ALUGUEL</t>
  </si>
  <si>
    <t>Aluguel</t>
  </si>
  <si>
    <t>Condominio</t>
  </si>
  <si>
    <t>Conta de agua</t>
  </si>
  <si>
    <t>(D) LAZER</t>
  </si>
  <si>
    <t>Cinema e passeios</t>
  </si>
  <si>
    <t>Conta de energia</t>
  </si>
  <si>
    <t>Aplicativo de transporte</t>
  </si>
  <si>
    <t>Plano celular</t>
  </si>
  <si>
    <t>Farmacia</t>
  </si>
  <si>
    <t>Internet fibra 500 Mb</t>
  </si>
  <si>
    <t>Almoco em familia</t>
  </si>
  <si>
    <t>Fatura do cartao</t>
  </si>
  <si>
    <t>Fim de semana</t>
  </si>
  <si>
    <t>FINANC. VEICULO</t>
  </si>
  <si>
    <t>Financ. Veiculo</t>
  </si>
  <si>
    <t>Aportes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</si>
</sst>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&quot;R$&quot;\ #,##0.00"/>
    <numFmt numFmtId="167" formatCode="0.00&quot;%&quot;"/>
    <numFmt numFmtId="168" formatCode="mmm\-yy"/>
    <numFmt numFmtId="169" formatCode="m/d/yyyy"/>
    <numFmt numFmtId="170" formatCode="0.00\ &quot;%&quot;"/>
    <numFmt numFmtId="171" formatCode="d/m/yyyy"/>
    <numFmt numFmtId="172" formatCode="mmm/\y\y"/>
    <numFmt numFmtId="173" formatCode="&quot;R$&quot;\ #.##000"/>
  </numFmts>
  <fonts count="13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8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45"/>
      <color theme="0"/>
      <name val="Aptos ExtraBold"/>
      <family val="2"/>
    </font>
    <font>
      <b/>
      <sz val="15"/>
      <color theme="1"/>
      <name val="Century Gothic"/>
      <family val="2"/>
      <scheme val="minor"/>
    </font>
    <font>
      <sz val="7"/>
      <color rgb="FF48586C"/>
      <name val="Futura-book"/>
    </font>
    <font>
      <b/>
      <sz val="8"/>
      <color rgb="FF272833"/>
      <name val="Segoe UI"/>
      <family val="2"/>
    </font>
    <font>
      <sz val="12"/>
      <color theme="1"/>
      <name val="Aptos Display"/>
      <family val="2"/>
    </font>
    <font>
      <sz val="10"/>
      <color theme="1"/>
      <name val="Aptos Display"/>
      <family val="2"/>
    </font>
    <font>
      <b/>
      <sz val="11"/>
      <color rgb="FF008000"/>
      <name val="Aptos Narrow"/>
      <family val="2"/>
    </font>
    <font>
      <sz val="11"/>
      <color rgb="FF000000"/>
      <name val="Century Gothic"/>
      <family val="2"/>
    </font>
  </fonts>
  <fills count="9">
    <fill>
      <patternFill patternType="none"/>
    </fill>
    <fill>
      <patternFill patternType="gray125"/>
    </fill>
    <fill>
      <patternFill patternType="solid">
        <fgColor rgb="FF07031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9">
    <xf numFmtId="0" fontId="0" fillId="0" borderId="0" xfId="0"/>
    <xf numFmtId="14" fontId="0" fillId="0" borderId="0" xfId="0" applyNumberFormat="1"/>
    <xf numFmtId="17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0" fillId="2" borderId="0" xfId="0" applyFill="1"/>
    <xf numFmtId="0" fontId="4" fillId="4" borderId="0" xfId="0" applyFont="1" applyFill="1"/>
    <xf numFmtId="17" fontId="0" fillId="0" borderId="0" xfId="0" applyNumberFormat="1" applyAlignment="1">
      <alignment horizontal="left"/>
    </xf>
    <xf numFmtId="0" fontId="0" fillId="5" borderId="0" xfId="0" applyFill="1"/>
    <xf numFmtId="165" fontId="0" fillId="5" borderId="0" xfId="1" applyFont="1" applyFill="1"/>
    <xf numFmtId="166" fontId="0" fillId="0" borderId="0" xfId="0" applyNumberFormat="1"/>
    <xf numFmtId="0" fontId="3" fillId="0" borderId="1" xfId="0" applyFont="1" applyBorder="1"/>
    <xf numFmtId="166" fontId="3" fillId="0" borderId="1" xfId="0" applyNumberFormat="1" applyFont="1" applyBorder="1"/>
    <xf numFmtId="166" fontId="3" fillId="0" borderId="2" xfId="0" applyNumberFormat="1" applyFont="1" applyBorder="1"/>
    <xf numFmtId="0" fontId="3" fillId="0" borderId="3" xfId="0" applyFont="1" applyBorder="1"/>
    <xf numFmtId="166" fontId="3" fillId="3" borderId="4" xfId="0" applyNumberFormat="1" applyFont="1" applyFill="1" applyBorder="1"/>
    <xf numFmtId="0" fontId="0" fillId="0" borderId="1" xfId="0" applyBorder="1"/>
    <xf numFmtId="166" fontId="0" fillId="0" borderId="1" xfId="0" applyNumberFormat="1" applyBorder="1"/>
    <xf numFmtId="10" fontId="0" fillId="0" borderId="0" xfId="0" applyNumberFormat="1"/>
    <xf numFmtId="10" fontId="0" fillId="0" borderId="0" xfId="0" applyNumberFormat="1" applyAlignment="1">
      <alignment horizontal="center"/>
    </xf>
    <xf numFmtId="9" fontId="0" fillId="0" borderId="0" xfId="0" applyNumberFormat="1"/>
    <xf numFmtId="0" fontId="3" fillId="0" borderId="0" xfId="0" applyFont="1"/>
    <xf numFmtId="0" fontId="5" fillId="2" borderId="0" xfId="0" applyFont="1" applyFill="1"/>
    <xf numFmtId="0" fontId="4" fillId="6" borderId="0" xfId="0" applyFont="1" applyFill="1"/>
    <xf numFmtId="0" fontId="4" fillId="8" borderId="0" xfId="0" applyFont="1" applyFill="1"/>
    <xf numFmtId="0" fontId="6" fillId="0" borderId="0" xfId="0" applyFont="1"/>
    <xf numFmtId="1" fontId="0" fillId="0" borderId="0" xfId="0" applyNumberFormat="1"/>
    <xf numFmtId="167" fontId="0" fillId="0" borderId="0" xfId="0" applyNumberFormat="1"/>
    <xf numFmtId="165" fontId="0" fillId="0" borderId="0" xfId="1" applyFont="1"/>
    <xf numFmtId="14" fontId="7" fillId="0" borderId="0" xfId="0" applyNumberFormat="1" applyFont="1"/>
    <xf numFmtId="0" fontId="0" fillId="0" borderId="6" xfId="0" applyBorder="1"/>
    <xf numFmtId="0" fontId="8" fillId="0" borderId="0" xfId="0" applyFont="1"/>
    <xf numFmtId="166" fontId="0" fillId="7" borderId="5" xfId="0" applyNumberFormat="1" applyFill="1" applyBorder="1"/>
    <xf numFmtId="0" fontId="9" fillId="0" borderId="0" xfId="0" applyFont="1"/>
    <xf numFmtId="0" fontId="9" fillId="0" borderId="0" xfId="0" applyFont="1" applyAlignment="1">
      <alignment horizontal="center"/>
    </xf>
    <xf numFmtId="164" fontId="10" fillId="0" borderId="7" xfId="0" applyNumberFormat="1" applyFont="1" applyBorder="1" applyAlignment="1">
      <alignment horizontal="center"/>
    </xf>
    <xf numFmtId="17" fontId="0" fillId="0" borderId="1" xfId="0" applyNumberFormat="1" applyBorder="1"/>
    <xf numFmtId="165" fontId="3" fillId="5" borderId="0" xfId="1" applyFont="1" applyFill="1"/>
    <xf numFmtId="0" fontId="3" fillId="5" borderId="0" xfId="0" applyFont="1" applyFill="1"/>
    <xf numFmtId="168" fontId="0" fillId="0" borderId="0" xfId="0" applyNumberFormat="1" applyAlignment="1">
      <alignment horizontal="left"/>
    </xf>
    <xf numFmtId="167" fontId="0" fillId="3" borderId="0" xfId="0" applyNumberFormat="1" applyFill="1"/>
    <xf numFmtId="169" fontId="3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168" fontId="0" fillId="0" borderId="0" xfId="0" applyNumberFormat="1" applyAlignment="1">
      <alignment horizontal="center"/>
    </xf>
    <xf numFmtId="0" fontId="3" fillId="0" borderId="7" xfId="0" applyFont="1" applyBorder="1"/>
    <xf numFmtId="170" fontId="0" fillId="3" borderId="7" xfId="0" applyNumberFormat="1" applyFill="1" applyBorder="1"/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71" fontId="0" fillId="0" borderId="0" xfId="0" applyNumberFormat="1"/>
    <xf numFmtId="171" fontId="3" fillId="0" borderId="0" xfId="0" applyNumberFormat="1" applyFont="1"/>
    <xf numFmtId="0" fontId="3" fillId="0" borderId="0" xfId="0" applyFont="1" applyAlignment="1">
      <alignment horizontal="center"/>
    </xf>
    <xf numFmtId="172" fontId="0" fillId="0" borderId="1" xfId="0" applyNumberFormat="1" applyBorder="1"/>
    <xf numFmtId="173" fontId="0" fillId="0" borderId="0" xfId="0" applyNumberFormat="1"/>
    <xf numFmtId="0" fontId="5" fillId="2" borderId="0" xfId="0" applyFont="1" applyFill="1" applyAlignment="1">
      <alignment horizontal="left"/>
    </xf>
    <xf numFmtId="0" fontId="5" fillId="2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44">
    <dxf>
      <numFmt numFmtId="166" formatCode="&quot;R$&quot;\ #,##0.00"/>
    </dxf>
    <dxf>
      <numFmt numFmtId="165" formatCode="_(&quot;R$&quot;* #,##0.00_);_(&quot;R$&quot;* \(#,##0.00\);_(&quot;R$&quot;* &quot;-&quot;??_);_(@_)"/>
    </dxf>
    <dxf>
      <numFmt numFmtId="166" formatCode="&quot;R$&quot;\ #,##0.00"/>
    </dxf>
    <dxf>
      <numFmt numFmtId="166" formatCode="&quot;R$&quot;\ #,##0.00"/>
    </dxf>
    <dxf>
      <numFmt numFmtId="166" formatCode="&quot;R$&quot;\ #,##0.00"/>
    </dxf>
    <dxf>
      <numFmt numFmtId="13" formatCode="0%"/>
    </dxf>
    <dxf>
      <alignment horizontal="center"/>
    </dxf>
    <dxf>
      <numFmt numFmtId="14" formatCode="0.00%"/>
    </dxf>
    <dxf>
      <numFmt numFmtId="166" formatCode="&quot;R$&quot;\ #,##0.00"/>
    </dxf>
    <dxf>
      <numFmt numFmtId="166" formatCode="&quot;R$&quot;\ #,##0.00"/>
    </dxf>
    <dxf>
      <numFmt numFmtId="173" formatCode="&quot;R$&quot;\ #.##000"/>
    </dxf>
    <dxf>
      <numFmt numFmtId="166" formatCode="&quot;R$&quot;\ #,##0.00"/>
    </dxf>
    <dxf>
      <numFmt numFmtId="165" formatCode="_(&quot;R$&quot;* #,##0.00_);_(&quot;R$&quot;* \(#,##0.00\);_(&quot;R$&quot;* &quot;-&quot;??_);_(@_)"/>
    </dxf>
    <dxf>
      <numFmt numFmtId="168" formatCode="mmm\-yy"/>
    </dxf>
    <dxf>
      <alignment horizontal="center"/>
    </dxf>
    <dxf>
      <numFmt numFmtId="166" formatCode="&quot;R$&quot;\ #,##0.00"/>
    </dxf>
    <dxf>
      <numFmt numFmtId="166" formatCode="&quot;R$&quot;\ #,##0.00"/>
    </dxf>
    <dxf>
      <numFmt numFmtId="167" formatCode="0.00&quot;%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</dxf>
    <dxf>
      <numFmt numFmtId="1" formatCode="0"/>
      <alignment horizontal="center" vertical="bottom" textRotation="0" wrapText="0" indent="0" justifyLastLine="0" shrinkToFit="0" readingOrder="0"/>
    </dxf>
    <dxf>
      <numFmt numFmtId="22" formatCode="mmm/yy"/>
      <alignment horizontal="center" vertical="bottom" textRotation="0" wrapText="0" indent="0" justifyLastLine="0" shrinkToFit="0" readingOrder="0"/>
    </dxf>
    <dxf>
      <numFmt numFmtId="169" formatCode="m/d/yyyy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69" formatCode="m/d/yyyy"/>
      <alignment horizontal="center" vertical="bottom" textRotation="0" wrapText="0" indent="0" justifyLastLine="0" shrinkToFit="0" readingOrder="0"/>
    </dxf>
    <dxf>
      <numFmt numFmtId="168" formatCode="mmm\-yy"/>
      <alignment horizontal="center" vertical="bottom" textRotation="0" wrapText="0" indent="0" justifyLastLine="0" shrinkToFit="0" readingOrder="0"/>
    </dxf>
    <dxf>
      <numFmt numFmtId="171" formatCode="d/m/yyyy"/>
    </dxf>
    <dxf>
      <numFmt numFmtId="171" formatCode="d/m/yyyy"/>
    </dxf>
    <dxf>
      <font>
        <color rgb="FFFFFFFF"/>
      </font>
      <fill>
        <patternFill>
          <bgColor rgb="FFEE0000"/>
        </patternFill>
      </fill>
    </dxf>
    <dxf>
      <font>
        <color theme="1" tint="0.499984740745262"/>
      </font>
      <fill>
        <patternFill patternType="solid">
          <bgColor theme="0" tint="-4.9989318521683403E-2"/>
        </patternFill>
      </fill>
    </dxf>
    <dxf>
      <font>
        <color rgb="FF0070C0"/>
      </font>
    </dxf>
    <dxf>
      <font>
        <color rgb="FFFF0000"/>
      </font>
    </dxf>
    <dxf>
      <font>
        <color theme="1" tint="0.499984740745262"/>
      </font>
      <fill>
        <patternFill patternType="solid">
          <bgColor theme="0" tint="-4.9989318521683403E-2"/>
        </patternFill>
      </fill>
    </dxf>
    <dxf>
      <font>
        <b val="0"/>
        <i val="0"/>
        <strike val="0"/>
        <color rgb="FF00B050"/>
      </font>
    </dxf>
    <dxf>
      <font>
        <color rgb="FF00B050"/>
      </font>
      <fill>
        <patternFill patternType="solid">
          <bgColor theme="0" tint="-4.9989318521683403E-2"/>
        </patternFill>
      </fill>
    </dxf>
    <dxf>
      <font>
        <color theme="0"/>
        <name val="Century Gothic"/>
        <family val="2"/>
        <scheme val="major"/>
      </font>
    </dxf>
    <dxf>
      <fill>
        <patternFill>
          <bgColor theme="3" tint="-0.499984740745262"/>
        </patternFill>
      </fill>
    </dxf>
    <dxf>
      <font>
        <color theme="0"/>
        <name val="Aptos Black"/>
        <family val="2"/>
        <scheme val="none"/>
      </font>
      <border>
        <bottom style="thin">
          <color theme="5"/>
        </bottom>
        <vertical/>
        <horizontal/>
      </border>
    </dxf>
    <dxf>
      <font>
        <color theme="0"/>
      </font>
      <fill>
        <patternFill>
          <bgColor rgb="FF191036"/>
        </patternFill>
      </fill>
      <border>
        <left/>
        <right/>
        <top/>
        <bottom/>
        <vertical/>
        <horizontal/>
      </border>
    </dxf>
    <dxf>
      <font>
        <color rgb="FFFFFF00"/>
        <name val="Century Gothic"/>
        <family val="2"/>
        <scheme val="major"/>
      </font>
      <fill>
        <patternFill>
          <bgColor theme="2" tint="-0.89996032593768116"/>
        </patternFill>
      </fill>
    </dxf>
  </dxfs>
  <tableStyles count="3" defaultTableStyle="TableStyleMedium2" defaultPivotStyle="PivotStyleLight16">
    <tableStyle name="Estilo de Segmentação de Dados 1" pivot="0" table="0" count="1" xr9:uid="{F934178B-8F5D-4A85-A4AE-4DC0632D5ECD}">
      <tableStyleElement type="headerRow" dxfId="43"/>
    </tableStyle>
    <tableStyle name="Gil_estilo" pivot="0" table="0" count="10" xr9:uid="{2BD12D97-3CBE-4771-AB76-BF10F9CEB7FD}">
      <tableStyleElement type="wholeTable" dxfId="42"/>
      <tableStyleElement type="headerRow" dxfId="41"/>
    </tableStyle>
    <tableStyle name="Gil1" pivot="0" table="0" count="10" xr9:uid="{C3885367-D7FB-4AC9-BBB6-4A2E0C09F5BC}">
      <tableStyleElement type="wholeTable" dxfId="40"/>
      <tableStyleElement type="headerRow" dxfId="39"/>
    </tableStyle>
  </tableStyles>
  <colors>
    <mruColors>
      <color rgb="FFFF9900"/>
      <color rgb="FF12083A"/>
      <color rgb="FF191036"/>
      <color rgb="FF0D062C"/>
      <color rgb="FF070317"/>
      <color rgb="FFDF8E17"/>
      <color rgb="FFCCFFCC"/>
      <color rgb="FFFFCCCC"/>
      <color rgb="FFCCFF66"/>
      <color rgb="FF00CC5C"/>
    </mruColors>
  </colors>
  <extLst>
    <ext xmlns:x14="http://schemas.microsoft.com/office/spreadsheetml/2009/9/main" uri="{46F421CA-312F-682f-3DD2-61675219B42D}">
      <x14:dxfs count="16">
        <dxf>
          <fill>
            <patternFill>
              <bgColor theme="2" tint="-9.9948118533890809E-2"/>
            </patternFill>
          </fill>
        </dxf>
        <dxf>
          <fill>
            <patternFill>
              <bgColor theme="2" tint="-9.9948118533890809E-2"/>
            </patternFill>
          </fill>
        </dxf>
        <dxf>
          <font>
            <color theme="0"/>
          </font>
          <fill>
            <patternFill>
              <bgColor theme="4" tint="-0.24994659260841701"/>
            </patternFill>
          </fill>
        </dxf>
        <dxf>
          <fill>
            <patternFill>
              <bgColor theme="2" tint="-9.9948118533890809E-2"/>
            </patternFill>
          </fill>
        </dxf>
        <dxf>
          <font>
            <color theme="0"/>
          </font>
          <fill>
            <patternFill>
              <bgColor theme="5" tint="-0.24994659260841701"/>
            </patternFill>
          </fill>
        </dxf>
        <dxf>
          <font>
            <color theme="0"/>
          </font>
          <fill>
            <patternFill>
              <bgColor theme="5" tint="-0.499984740745262"/>
            </patternFill>
          </fill>
        </dxf>
        <dxf>
          <fill>
            <patternFill>
              <bgColor theme="2" tint="-9.9948118533890809E-2"/>
            </patternFill>
          </fill>
        </dxf>
        <dxf>
          <fill>
            <patternFill>
              <bgColor theme="2" tint="-9.9948118533890809E-2"/>
            </patternFill>
          </fill>
        </dxf>
        <dxf>
          <font>
            <color rgb="FF12083A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 tint="-0.249977111117893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theme="5" tint="0.59999389629810485"/>
            </left>
            <right style="thin">
              <color theme="5" tint="0.59999389629810485"/>
            </right>
            <top style="thin">
              <color theme="5" tint="0.59999389629810485"/>
            </top>
            <bottom style="thin">
              <color theme="5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5"/>
              <bgColor theme="5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Gil_estilo">
        <x14:slicerStyle name="Estilo de Segmentação de Dados 1"/>
        <x14:slicerStyle name="Gil_estil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Gil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7/relationships/slicerCache" Target="slicerCaches/slicerCache4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-0.23594916651845624"/>
              <c:y val="0.1776870426532372"/>
            </c:manualLayout>
          </c:layout>
          <c:tx>
            <c:rich>
              <a:bodyPr rot="0" spcFirstLastPara="1" vertOverflow="ellipsis" vert="horz" wrap="square" lIns="38100" tIns="19050" rIns="38100" bIns="19050" anchor="ctr" anchorCtr="0">
                <a:noAutofit/>
              </a:bodyPr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000" b="1" i="0" u="none" strike="noStrike" kern="1200" baseline="0">
                    <a:solidFill>
                      <a:sysClr val="window" lastClr="FFFF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 i="0" u="none" strike="noStrike" kern="1200" baseline="0">
                    <a:solidFill>
                      <a:sysClr val="window" lastClr="FFFFFF"/>
                    </a:solidFill>
                  </a:rPr>
                  <a:t>Extra Outros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000" b="1" i="0" u="none" strike="noStrike" kern="1200" baseline="0">
                    <a:solidFill>
                      <a:sysClr val="window" lastClr="FFFFFF"/>
                    </a:solidFill>
                    <a:latin typeface="+mn-lt"/>
                    <a:ea typeface="+mn-ea"/>
                    <a:cs typeface="+mn-cs"/>
                  </a:defRPr>
                </a:pPr>
                <a:fld id="{D0CD6D08-4BAC-4716-B440-513D8752E7A6}" type="PERCENTAGE">
                  <a:rPr lang="en-US" baseline="0"/>
                  <a:pPr marL="0" marR="0" lvl="0" indent="0" algn="ctr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 sz="2000" b="1" i="0" u="none" strike="noStrike" kern="1200" baseline="0">
                      <a:solidFill>
                        <a:sysClr val="window" lastClr="FFFFFF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noAutofit/>
            </a:bodyPr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2000" b="1" i="0" u="none" strike="noStrike" kern="1200" baseline="0">
                  <a:solidFill>
                    <a:sysClr val="window" lastClr="FFFFFF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1781322252582905"/>
                  <c:h val="0.28659599528857477"/>
                </c:manualLayout>
              </c15:layout>
              <c15:dlblFieldTable/>
              <c15:showDataLabelsRange val="0"/>
            </c:ext>
          </c:extLst>
        </c:dLbl>
      </c:pivotFmt>
      <c:pivotFmt>
        <c:idx val="28"/>
        <c:spPr>
          <a:solidFill>
            <a:schemeClr val="accent3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9"/>
        <c:spPr>
          <a:solidFill>
            <a:schemeClr val="accent5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>
              <a:lumMod val="60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0.20610440958307322"/>
              <c:y val="0.2285436304548173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Salário</a:t>
                </a:r>
              </a:p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fld id="{601DB8CF-4F88-40E4-B792-5408BDAA950B}" type="PERCENTAGE">
                  <a:rPr lang="en-US" sz="2000" baseline="0"/>
                  <a:pPr>
                    <a:defRPr sz="2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085207521544407"/>
                  <c:h val="0.14101295641931685"/>
                </c:manualLayout>
              </c15:layout>
              <c15:dlblFieldTable/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-0.23594916651845624"/>
              <c:y val="0.1776870426532372"/>
            </c:manualLayout>
          </c:layout>
          <c:tx>
            <c:rich>
              <a:bodyPr rot="0" spcFirstLastPara="1" vertOverflow="ellipsis" vert="horz" wrap="square" lIns="38100" tIns="19050" rIns="38100" bIns="19050" anchor="ctr" anchorCtr="0">
                <a:noAutofit/>
              </a:bodyPr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000" b="1" i="0" u="none" strike="noStrike" kern="1200" baseline="0">
                    <a:solidFill>
                      <a:sysClr val="window" lastClr="FFFF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 i="0" u="none" strike="noStrike" kern="1200" baseline="0">
                    <a:solidFill>
                      <a:sysClr val="window" lastClr="FFFFFF"/>
                    </a:solidFill>
                  </a:rPr>
                  <a:t>Extra Outros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000" b="1" i="0" u="none" strike="noStrike" kern="1200" baseline="0">
                    <a:solidFill>
                      <a:sysClr val="window" lastClr="FFFFFF"/>
                    </a:solidFill>
                    <a:latin typeface="+mn-lt"/>
                    <a:ea typeface="+mn-ea"/>
                    <a:cs typeface="+mn-cs"/>
                  </a:defRPr>
                </a:pPr>
                <a:fld id="{D0CD6D08-4BAC-4716-B440-513D8752E7A6}" type="PERCENTAGE">
                  <a:rPr lang="en-US" baseline="0"/>
                  <a:pPr marL="0" marR="0" lvl="0" indent="0" algn="ctr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 sz="2000" b="1" i="0" u="none" strike="noStrike" kern="1200" baseline="0">
                      <a:solidFill>
                        <a:sysClr val="window" lastClr="FFFFFF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noAutofit/>
            </a:bodyPr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2000" b="1" i="0" u="none" strike="noStrike" kern="1200" baseline="0">
                  <a:solidFill>
                    <a:sysClr val="window" lastClr="FFFFFF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1781322252582905"/>
                  <c:h val="0.28659599528857477"/>
                </c:manualLayout>
              </c15:layout>
              <c15:dlblFieldTable/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Apoio
</a:t>
                </a:r>
                <a:fld id="{4135DA45-E202-497F-8E79-68C2180642A0}" type="PERCENTAGE">
                  <a:rPr lang="en-US" baseline="0"/>
                  <a:pPr>
                    <a:defRPr sz="2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3.5129751491535799E-2"/>
              <c:y val="-0.1991563952032496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PLR </a:t>
                </a:r>
                <a:fld id="{5F60BD59-1850-43AD-9B88-2DCED0375575}" type="PERCENTAGE">
                  <a:rPr lang="en-US" baseline="0"/>
                  <a:pPr>
                    <a:defRPr sz="2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0.20610440958307322"/>
              <c:y val="0.2285436304548173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Salário</a:t>
                </a:r>
              </a:p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fld id="{601DB8CF-4F88-40E4-B792-5408BDAA950B}" type="PERCENTAGE">
                  <a:rPr lang="en-US" sz="2000" baseline="0"/>
                  <a:pPr>
                    <a:defRPr sz="2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085207521544407"/>
                  <c:h val="0.14101295641931685"/>
                </c:manualLayout>
              </c15:layout>
              <c15:dlblFieldTable/>
              <c15:showDataLabelsRange val="0"/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-0.23418241006093313"/>
              <c:y val="0.16464361520027387"/>
            </c:manualLayout>
          </c:layout>
          <c:tx>
            <c:rich>
              <a:bodyPr rot="0" spcFirstLastPara="1" vertOverflow="ellipsis" vert="horz" wrap="square" lIns="38100" tIns="19050" rIns="38100" bIns="19050" anchor="ctr" anchorCtr="0">
                <a:noAutofit/>
              </a:bodyPr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000" b="1" i="0" u="none" strike="noStrike" kern="1200" baseline="0">
                    <a:solidFill>
                      <a:sysClr val="window" lastClr="FFFF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 i="0" u="none" strike="noStrike" kern="1200" baseline="0">
                    <a:solidFill>
                      <a:sysClr val="window" lastClr="FFFFFF"/>
                    </a:solidFill>
                  </a:rPr>
                  <a:t>Extra Outros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000" b="1" i="0" u="none" strike="noStrike" kern="1200" baseline="0">
                    <a:solidFill>
                      <a:sysClr val="window" lastClr="FFFFFF"/>
                    </a:solidFill>
                    <a:latin typeface="+mn-lt"/>
                    <a:ea typeface="+mn-ea"/>
                    <a:cs typeface="+mn-cs"/>
                  </a:defRPr>
                </a:pPr>
                <a:fld id="{D0CD6D08-4BAC-4716-B440-513D8752E7A6}" type="PERCENTAGE">
                  <a:rPr lang="en-US" baseline="0"/>
                  <a:pPr marL="0" marR="0" lvl="0" indent="0" algn="ctr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 sz="2000" b="1" i="0" u="none" strike="noStrike" kern="1200" baseline="0">
                      <a:solidFill>
                        <a:sysClr val="window" lastClr="FFFFFF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noAutofit/>
            </a:bodyPr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2000" b="1" i="0" u="none" strike="noStrike" kern="1200" baseline="0">
                  <a:solidFill>
                    <a:sysClr val="window" lastClr="FFFFFF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1781322252582905"/>
                  <c:h val="0.28659599528857477"/>
                </c:manualLayout>
              </c15:layout>
              <c15:dlblFieldTable/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Apoio
</a:t>
                </a:r>
                <a:fld id="{4135DA45-E202-497F-8E79-68C2180642A0}" type="PERCENTAGE">
                  <a:rPr lang="en-US" baseline="0"/>
                  <a:pPr>
                    <a:defRPr sz="2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3.5129751491535799E-2"/>
              <c:y val="-0.1991563952032496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PLR </a:t>
                </a:r>
                <a:fld id="{5F60BD59-1850-43AD-9B88-2DCED0375575}" type="PERCENTAGE">
                  <a:rPr lang="en-US" baseline="0"/>
                  <a:pPr>
                    <a:defRPr sz="2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0.20610440958307322"/>
              <c:y val="0.2285436304548173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Salário</a:t>
                </a:r>
              </a:p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fld id="{601DB8CF-4F88-40E4-B792-5408BDAA950B}" type="PERCENTAGE">
                  <a:rPr lang="en-US" sz="2000" baseline="0"/>
                  <a:pPr>
                    <a:defRPr sz="2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085207521544407"/>
                  <c:h val="0.14101295641931685"/>
                </c:manualLayout>
              </c15:layout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6047411034751399"/>
          <c:y val="0.12531547415268743"/>
          <c:w val="0.72538950533996549"/>
          <c:h val="0.87359536936733007"/>
        </c:manualLayout>
      </c:layout>
      <c:pieChart>
        <c:varyColors val="1"/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70317">
        <a:alpha val="0"/>
      </a:srgb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[corrigida_anon.xlsm]ANALISES!Tabela dinâmica11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6971122365801175"/>
              <c:y val="1.6412661195779603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230765891068997"/>
              <c:y val="0"/>
            </c:manualLayout>
          </c:layout>
          <c:spPr>
            <a:solidFill>
              <a:sysClr val="window" lastClr="FFFFFF"/>
            </a:solidFill>
            <a:ln w="9525" cap="flat" cmpd="sng" algn="ctr">
              <a:solidFill>
                <a:sysClr val="windowText" lastClr="000000">
                  <a:lumMod val="25000"/>
                  <a:lumOff val="75000"/>
                </a:sysClr>
              </a:solidFill>
              <a:prstDash val="solid"/>
              <a:round/>
              <a:headEnd type="none" w="med" len="med"/>
              <a:tailEnd type="none" w="med" len="med"/>
              <a:extLst>
                <a:ext uri="{C807C97D-BFC1-408E-A445-0C87EB9F89A2}">
                  <ask:lineSketchStyleProps xmlns:ask="http://schemas.microsoft.com/office/drawing/2018/sketchyshapes" sd="0">
                    <a:custGeom>
                      <a:avLst/>
                      <a:gdLst/>
                      <a:ahLst/>
                      <a:cxnLst/>
                      <a:rect l="0" t="0" r="0" b="0"/>
                      <a:pathLst/>
                    </a:custGeom>
                    <ask:type/>
                  </ask:lineSketchStyleProps>
                </a:ext>
              </a:extLst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>
                    <a:gd name="adj1" fmla="val 192898"/>
                    <a:gd name="adj2" fmla="val -73850"/>
                  </a:avLst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ANALISES!$Q$7</c:f>
              <c:strCache>
                <c:ptCount val="1"/>
                <c:pt idx="0">
                  <c:v>Soma de VlrReceita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E42-43A1-8388-26D304AB70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E42-43A1-8388-26D304AB70F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E42-43A1-8388-26D304AB70F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E42-43A1-8388-26D304AB70F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DD9-4D18-85DF-E5ECF9B96DF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2D2-481E-975D-D2C4FB483C85}"/>
              </c:ext>
            </c:extLst>
          </c:dPt>
          <c:dLbls>
            <c:dLbl>
              <c:idx val="1"/>
              <c:layout>
                <c:manualLayout>
                  <c:x val="0.17230765891068997"/>
                  <c:y val="0"/>
                </c:manualLayout>
              </c:layout>
              <c:spPr>
                <a:solidFill>
                  <a:sysClr val="window" lastClr="FFFFFF"/>
                </a:solidFill>
                <a:ln w="9525" cap="flat" cmpd="sng" algn="ctr">
                  <a:solidFill>
                    <a:sysClr val="windowText" lastClr="000000">
                      <a:lumMod val="25000"/>
                      <a:lumOff val="75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  <a:extLst>
                    <a:ext uri="{C807C97D-BFC1-408E-A445-0C87EB9F89A2}">
                      <ask:lineSketchStyleProps xmlns:ask="http://schemas.microsoft.com/office/drawing/2018/sketchyshapes" sd="0">
                        <a:custGeom>
                          <a:avLst/>
                          <a:gdLst/>
                          <a:ahLst/>
                          <a:cxnLst/>
                          <a:rect l="0" t="0" r="0" b="0"/>
                          <a:pathLst/>
                        </a:custGeom>
                        <ask:type/>
                      </ask:lineSketchStyleProps>
                    </a:ext>
                  </a:extLst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192898"/>
                        <a:gd name="adj2" fmla="val -73850"/>
                      </a:avLst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0E42-43A1-8388-26D304AB70F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ANALISES!$P$8:$P$12</c:f>
              <c:strCache>
                <c:ptCount val="4"/>
                <c:pt idx="0">
                  <c:v>(R) EXTRA</c:v>
                </c:pt>
                <c:pt idx="1">
                  <c:v>(R) SALARIO</c:v>
                </c:pt>
                <c:pt idx="2">
                  <c:v>(R) BONUS</c:v>
                </c:pt>
                <c:pt idx="3">
                  <c:v>(R) RENDIMENTOS</c:v>
                </c:pt>
              </c:strCache>
            </c:strRef>
          </c:cat>
          <c:val>
            <c:numRef>
              <c:f>ANALISES!$Q$8:$Q$12</c:f>
              <c:numCache>
                <c:formatCode>"R$"\ #,##0.00</c:formatCode>
                <c:ptCount val="4"/>
                <c:pt idx="0">
                  <c:v>5350</c:v>
                </c:pt>
                <c:pt idx="1">
                  <c:v>46200</c:v>
                </c:pt>
                <c:pt idx="2">
                  <c:v>2500</c:v>
                </c:pt>
                <c:pt idx="3">
                  <c:v>956.25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42-43A1-8388-26D304AB70F7}"/>
            </c:ext>
          </c:extLst>
        </c:ser>
        <c:ser>
          <c:idx val="1"/>
          <c:order val="1"/>
          <c:tx>
            <c:strRef>
              <c:f>ANALISES!$R$7</c:f>
              <c:strCache>
                <c:ptCount val="1"/>
                <c:pt idx="0">
                  <c:v>PercReceita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0E42-43A1-8388-26D304AB70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0E42-43A1-8388-26D304AB70F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0E42-43A1-8388-26D304AB70F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0E42-43A1-8388-26D304AB70F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DD9-4D18-85DF-E5ECF9B96DF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2D2-481E-975D-D2C4FB483C85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ANALISES!$P$8:$P$12</c:f>
              <c:strCache>
                <c:ptCount val="4"/>
                <c:pt idx="0">
                  <c:v>(R) EXTRA</c:v>
                </c:pt>
                <c:pt idx="1">
                  <c:v>(R) SALARIO</c:v>
                </c:pt>
                <c:pt idx="2">
                  <c:v>(R) BONUS</c:v>
                </c:pt>
                <c:pt idx="3">
                  <c:v>(R) RENDIMENTOS</c:v>
                </c:pt>
              </c:strCache>
            </c:strRef>
          </c:cat>
          <c:val>
            <c:numRef>
              <c:f>ANALISES!$R$8:$R$12</c:f>
              <c:numCache>
                <c:formatCode>0%</c:formatCode>
                <c:ptCount val="4"/>
                <c:pt idx="0">
                  <c:v>9.7261674809680718E-2</c:v>
                </c:pt>
                <c:pt idx="1">
                  <c:v>0.83990455630042038</c:v>
                </c:pt>
                <c:pt idx="2">
                  <c:v>4.5449380752187254E-2</c:v>
                </c:pt>
                <c:pt idx="3">
                  <c:v>1.7384388137711624E-2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E42-43A1-8388-26D304AB7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91036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[corrigida_anon.xlsm]ANALISES!Tabela dinâmica13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DF8E17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99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ANALISES!$V$8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74-42B5-ABB8-6989BA4E7BF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174-42B5-ABB8-6989BA4E7BF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174-42B5-ABB8-6989BA4E7BF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174-42B5-ABB8-6989BA4E7BF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174-42B5-ABB8-6989BA4E7BF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C695-463E-B138-9C27FB5A935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C695-463E-B138-9C27FB5A935B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174-42B5-ABB8-6989BA4E7BF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1174-42B5-ABB8-6989BA4E7BF2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695-463E-B138-9C27FB5A935B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657E-4B9B-9EAB-A2185104F3FE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B39-4F4A-BE04-DED5255D1EFA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887B-4986-A9AB-761217F70873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56DB-4A81-A35D-C9BC82689D79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240B-419E-8A4B-2B6F624AECE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DF8E17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ANALISES!$U$9:$U$24</c:f>
              <c:strCache>
                <c:ptCount val="15"/>
                <c:pt idx="0">
                  <c:v>(D) ASSINATURAS</c:v>
                </c:pt>
                <c:pt idx="1">
                  <c:v>(D) CARTAO DE CREDITO</c:v>
                </c:pt>
                <c:pt idx="2">
                  <c:v>(D) CELULAR</c:v>
                </c:pt>
                <c:pt idx="3">
                  <c:v>(D) CONDOMINIO</c:v>
                </c:pt>
                <c:pt idx="4">
                  <c:v>(D) MORADIA - AGUA</c:v>
                </c:pt>
                <c:pt idx="5">
                  <c:v>(D) MORADIA - INTERNET</c:v>
                </c:pt>
                <c:pt idx="6">
                  <c:v>(D) MORADIA - ENERGIA</c:v>
                </c:pt>
                <c:pt idx="7">
                  <c:v>(D) ALIMENTACAO</c:v>
                </c:pt>
                <c:pt idx="8">
                  <c:v>(D) EMPRESTIMOS</c:v>
                </c:pt>
                <c:pt idx="9">
                  <c:v>(D) TRANSPORTE</c:v>
                </c:pt>
                <c:pt idx="10">
                  <c:v>(D) RESTAURANTES</c:v>
                </c:pt>
                <c:pt idx="11">
                  <c:v>(D) SAUDE</c:v>
                </c:pt>
                <c:pt idx="12">
                  <c:v>(D) EDUCACAO</c:v>
                </c:pt>
                <c:pt idx="13">
                  <c:v>(D) MORADIA - ALUGUEL</c:v>
                </c:pt>
                <c:pt idx="14">
                  <c:v>(D) LAZER</c:v>
                </c:pt>
              </c:strCache>
            </c:strRef>
          </c:cat>
          <c:val>
            <c:numRef>
              <c:f>ANALISES!$V$9:$V$24</c:f>
              <c:numCache>
                <c:formatCode>0.00%</c:formatCode>
                <c:ptCount val="15"/>
                <c:pt idx="0">
                  <c:v>6.4478359407151506E-3</c:v>
                </c:pt>
                <c:pt idx="1">
                  <c:v>0.22834172834926353</c:v>
                </c:pt>
                <c:pt idx="2">
                  <c:v>9.7239208685218764E-3</c:v>
                </c:pt>
                <c:pt idx="3">
                  <c:v>5.4601415463445442E-2</c:v>
                </c:pt>
                <c:pt idx="4">
                  <c:v>7.0506541156831254E-3</c:v>
                </c:pt>
                <c:pt idx="5">
                  <c:v>9.0353170301930748E-3</c:v>
                </c:pt>
                <c:pt idx="6">
                  <c:v>1.7376233893451887E-2</c:v>
                </c:pt>
                <c:pt idx="7">
                  <c:v>0.12445297148785957</c:v>
                </c:pt>
                <c:pt idx="8">
                  <c:v>0.13424297050248371</c:v>
                </c:pt>
                <c:pt idx="9">
                  <c:v>4.8856094549712202E-2</c:v>
                </c:pt>
                <c:pt idx="10">
                  <c:v>2.956127588785263E-2</c:v>
                </c:pt>
                <c:pt idx="11">
                  <c:v>5.7130933266868751E-2</c:v>
                </c:pt>
                <c:pt idx="12">
                  <c:v>2.6431258440903528E-2</c:v>
                </c:pt>
                <c:pt idx="13">
                  <c:v>0.22257901844971392</c:v>
                </c:pt>
                <c:pt idx="14">
                  <c:v>2.4168371753331436E-2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95-463E-B138-9C27FB5A935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"/>
        <c:axId val="220942112"/>
        <c:axId val="220942592"/>
      </c:barChart>
      <c:catAx>
        <c:axId val="2209421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0942592"/>
        <c:crosses val="autoZero"/>
        <c:auto val="1"/>
        <c:lblAlgn val="ctr"/>
        <c:lblOffset val="100"/>
        <c:noMultiLvlLbl val="0"/>
      </c:catAx>
      <c:valAx>
        <c:axId val="220942592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094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[corrigida_anon.xlsm]ANALISES!Tabela dinâmica14</c:name>
    <c:fmtId val="1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l">
                <a:defRPr sz="1200" b="1" i="0" u="none" strike="noStrike" kern="1200" baseline="0">
                  <a:solidFill>
                    <a:srgbClr val="FF9900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noAutofit/>
            </a:bodyPr>
            <a:lstStyle/>
            <a:p>
              <a:pPr algn="l">
                <a:defRPr sz="1200" b="1" i="0" u="none" strike="noStrike" kern="1200" baseline="0">
                  <a:solidFill>
                    <a:srgbClr val="FF9900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832984859943356"/>
                  <c:h val="0.11639691714836221"/>
                </c:manualLayout>
              </c15:layout>
            </c:ext>
          </c:extLst>
        </c:dLbl>
      </c:pivotFmt>
      <c:pivotFmt>
        <c:idx val="4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l">
                <a:defRPr sz="1200" b="1" i="0" u="none" strike="noStrike" kern="1200" baseline="0">
                  <a:solidFill>
                    <a:srgbClr val="FF9900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372896184587097"/>
                  <c:h val="6.2235067437379568E-2"/>
                </c:manualLayout>
              </c15:layout>
            </c:ext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l">
                <a:defRPr sz="1200" b="1" i="0" u="none" strike="noStrike" kern="1200" baseline="0">
                  <a:solidFill>
                    <a:srgbClr val="FF9900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126191853136994"/>
                  <c:h val="6.2235067437379568E-2"/>
                </c:manualLayout>
              </c15:layout>
            </c:ext>
          </c:extLst>
        </c:dLbl>
      </c:pivotFmt>
      <c:pivotFmt>
        <c:idx val="6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l">
                <a:defRPr sz="1200" b="1" i="0" u="none" strike="noStrike" kern="1200" baseline="0">
                  <a:solidFill>
                    <a:srgbClr val="FF9900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539926153298634"/>
                  <c:h val="6.2235067437379568E-2"/>
                </c:manualLayout>
              </c15:layout>
            </c:ext>
          </c:extLst>
        </c:dLbl>
      </c:pivotFmt>
      <c:pivotFmt>
        <c:idx val="7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l">
                <a:defRPr sz="1200" b="1" i="0" u="none" strike="noStrike" kern="1200" baseline="0">
                  <a:solidFill>
                    <a:srgbClr val="FF9900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539926153298634"/>
                  <c:h val="6.2235067437379568E-2"/>
                </c:manualLayout>
              </c15:layout>
            </c:ext>
          </c:extLst>
        </c:dLbl>
      </c:pivotFmt>
      <c:pivotFmt>
        <c:idx val="8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l">
                <a:defRPr sz="1200" b="1" i="0" u="none" strike="noStrike" kern="1200" baseline="0">
                  <a:solidFill>
                    <a:srgbClr val="FF9900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6905852870086145"/>
                  <c:h val="6.2235067437379568E-2"/>
                </c:manualLayout>
              </c15:layout>
            </c:ext>
          </c:extLst>
        </c:dLbl>
      </c:pivotFmt>
      <c:pivotFmt>
        <c:idx val="9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l">
                <a:defRPr sz="1200" b="1" i="0" u="none" strike="noStrike" kern="1200" baseline="0">
                  <a:solidFill>
                    <a:srgbClr val="FF9900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6905852870086145"/>
                  <c:h val="6.2235067437379568E-2"/>
                </c:manualLayout>
              </c15:layout>
            </c:ext>
          </c:extLst>
        </c:dLbl>
      </c:pivotFmt>
      <c:pivotFmt>
        <c:idx val="10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l">
                <a:defRPr sz="1200" b="1" i="0" u="none" strike="noStrike" kern="1200" baseline="0">
                  <a:solidFill>
                    <a:srgbClr val="FF9900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65292050358112"/>
                  <c:h val="6.2235067437379568E-2"/>
                </c:manualLayout>
              </c15:layout>
            </c:ext>
          </c:extLst>
        </c:dLbl>
      </c:pivotFmt>
      <c:pivotFmt>
        <c:idx val="11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l">
                <a:defRPr sz="1200" b="1" i="0" u="none" strike="noStrike" kern="1200" baseline="0">
                  <a:solidFill>
                    <a:srgbClr val="FF9900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8472707860669961"/>
                  <c:h val="3.4007707129094414E-2"/>
                </c:manualLayout>
              </c15:layout>
            </c:ext>
          </c:extLst>
        </c:dLbl>
      </c:pivotFmt>
      <c:pivotFmt>
        <c:idx val="12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l">
                <a:defRPr sz="1200" b="1" i="0" u="none" strike="noStrike" kern="1200" baseline="0">
                  <a:solidFill>
                    <a:srgbClr val="FF9900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7719412192120053"/>
                  <c:h val="3.4007707129094414E-2"/>
                </c:manualLayout>
              </c15:layout>
            </c:ext>
          </c:extLst>
        </c:dLbl>
      </c:pivotFmt>
      <c:pivotFmt>
        <c:idx val="13"/>
        <c:spPr>
          <a:solidFill>
            <a:srgbClr val="C0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l">
                <a:defRPr sz="1200" b="1" i="0" u="none" strike="noStrike" kern="1200" baseline="0">
                  <a:solidFill>
                    <a:srgbClr val="FF9900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307450284679006"/>
                  <c:h val="6.686191957822514E-2"/>
                </c:manualLayout>
              </c15:layout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ANALISES!$Y$8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88C-47E6-800B-85D20A27AED2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D88C-47E6-800B-85D20A27AED2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1AC-48F3-B459-D3600962CEB9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1AC-48F3-B459-D3600962CEB9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D88C-47E6-800B-85D20A27AED2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D88C-47E6-800B-85D20A27AED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D88C-47E6-800B-85D20A27AE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D88C-47E6-800B-85D20A27AED2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D88C-47E6-800B-85D20A27AED2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88C-47E6-800B-85D20A27AE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26F2-401F-810C-498E2C6B80CC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D2AB-47E7-B180-B68CF325C052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9C59-4769-89AE-A5B0EBC051A9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1B88-4B14-BC6B-D2D6F82B7D24}"/>
              </c:ext>
            </c:extLst>
          </c:dPt>
          <c:dPt>
            <c:idx val="1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7B42-4495-BD09-0F14EC90BA7B}"/>
              </c:ext>
            </c:extLst>
          </c:dPt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6905852870086145"/>
                      <c:h val="6.223506743737956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D88C-47E6-800B-85D20A27AED2}"/>
                </c:ext>
              </c:extLst>
            </c:dLbl>
            <c:dLbl>
              <c:idx val="1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9372896184587097"/>
                      <c:h val="6.223506743737956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D88C-47E6-800B-85D20A27AED2}"/>
                </c:ext>
              </c:extLst>
            </c:dLbl>
            <c:dLbl>
              <c:idx val="2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6905852870086145"/>
                      <c:h val="6.223506743737956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1AC-48F3-B459-D3600962CEB9}"/>
                </c:ext>
              </c:extLst>
            </c:dLbl>
            <c:dLbl>
              <c:idx val="3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65292050358112"/>
                      <c:h val="6.223506743737956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1AC-48F3-B459-D3600962CEB9}"/>
                </c:ext>
              </c:extLst>
            </c:dLbl>
            <c:dLbl>
              <c:idx val="4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307450284679006"/>
                      <c:h val="6.68619195782251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88C-47E6-800B-85D20A27AED2}"/>
                </c:ext>
              </c:extLst>
            </c:dLbl>
            <c:dLbl>
              <c:idx val="9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539926153298634"/>
                      <c:h val="6.223506743737956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D88C-47E6-800B-85D20A27AED2}"/>
                </c:ext>
              </c:extLst>
            </c:dLbl>
            <c:dLbl>
              <c:idx val="14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539926153298634"/>
                      <c:h val="6.223506743737956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8-7B42-4495-BD09-0F14EC90BA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200" b="1" i="0" u="none" strike="noStrike" kern="1200" baseline="0">
                    <a:solidFill>
                      <a:srgbClr val="FF9900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ANALISES!$X$9:$X$24</c:f>
              <c:strCache>
                <c:ptCount val="15"/>
                <c:pt idx="0">
                  <c:v>(D) ASSINATURAS</c:v>
                </c:pt>
                <c:pt idx="1">
                  <c:v>(D) MORADIA - AGUA</c:v>
                </c:pt>
                <c:pt idx="2">
                  <c:v>(D) MORADIA - INTERNET</c:v>
                </c:pt>
                <c:pt idx="3">
                  <c:v>(D) CELULAR</c:v>
                </c:pt>
                <c:pt idx="4">
                  <c:v>(D) MORADIA - ENERGIA</c:v>
                </c:pt>
                <c:pt idx="5">
                  <c:v>(D) LAZER</c:v>
                </c:pt>
                <c:pt idx="6">
                  <c:v>(D) EDUCACAO</c:v>
                </c:pt>
                <c:pt idx="7">
                  <c:v>(D) RESTAURANTES</c:v>
                </c:pt>
                <c:pt idx="8">
                  <c:v>(D) TRANSPORTE</c:v>
                </c:pt>
                <c:pt idx="9">
                  <c:v>(D) CONDOMINIO</c:v>
                </c:pt>
                <c:pt idx="10">
                  <c:v>(D) SAUDE</c:v>
                </c:pt>
                <c:pt idx="11">
                  <c:v>(D) ALIMENTACAO</c:v>
                </c:pt>
                <c:pt idx="12">
                  <c:v>(D) EMPRESTIMOS</c:v>
                </c:pt>
                <c:pt idx="13">
                  <c:v>(D) MORADIA - ALUGUEL</c:v>
                </c:pt>
                <c:pt idx="14">
                  <c:v>(D) CARTAO DE CREDITO</c:v>
                </c:pt>
              </c:strCache>
            </c:strRef>
          </c:cat>
          <c:val>
            <c:numRef>
              <c:f>ANALISES!$Y$9:$Y$24</c:f>
              <c:numCache>
                <c:formatCode>"R$"\ #,##0.00</c:formatCode>
                <c:ptCount val="15"/>
                <c:pt idx="0">
                  <c:v>278.10000000000002</c:v>
                </c:pt>
                <c:pt idx="1">
                  <c:v>304.10000000000002</c:v>
                </c:pt>
                <c:pt idx="2">
                  <c:v>389.70000000000005</c:v>
                </c:pt>
                <c:pt idx="3">
                  <c:v>419.4</c:v>
                </c:pt>
                <c:pt idx="4">
                  <c:v>749.45</c:v>
                </c:pt>
                <c:pt idx="5">
                  <c:v>1042.4000000000001</c:v>
                </c:pt>
                <c:pt idx="6">
                  <c:v>1140</c:v>
                </c:pt>
                <c:pt idx="7">
                  <c:v>1275</c:v>
                </c:pt>
                <c:pt idx="8">
                  <c:v>2107.1999999999998</c:v>
                </c:pt>
                <c:pt idx="9">
                  <c:v>2355</c:v>
                </c:pt>
                <c:pt idx="10">
                  <c:v>2464.1</c:v>
                </c:pt>
                <c:pt idx="11">
                  <c:v>5367.75</c:v>
                </c:pt>
                <c:pt idx="12">
                  <c:v>5790</c:v>
                </c:pt>
                <c:pt idx="13">
                  <c:v>9600</c:v>
                </c:pt>
                <c:pt idx="14">
                  <c:v>9848.5499999999993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8C-47E6-800B-85D20A27AE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07835791"/>
        <c:axId val="107838191"/>
      </c:barChart>
      <c:catAx>
        <c:axId val="1078357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7838191"/>
        <c:crosses val="autoZero"/>
        <c:auto val="1"/>
        <c:lblAlgn val="ctr"/>
        <c:lblOffset val="100"/>
        <c:noMultiLvlLbl val="0"/>
      </c:catAx>
      <c:valAx>
        <c:axId val="107838191"/>
        <c:scaling>
          <c:orientation val="minMax"/>
        </c:scaling>
        <c:delete val="1"/>
        <c:axPos val="b"/>
        <c:numFmt formatCode="&quot;R$&quot;\ #,##0.00" sourceLinked="1"/>
        <c:majorTickMark val="out"/>
        <c:minorTickMark val="none"/>
        <c:tickLblPos val="nextTo"/>
        <c:crossAx val="107835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91036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[corrigida_anon.xlsm]ANALISES!Tabela dinâmica1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numFmt formatCode="&quot;R$&quot;\ 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layout>
            <c:manualLayout>
              <c:x val="-7.0648903913027389E-2"/>
              <c:y val="-0.28703514862167706"/>
            </c:manualLayout>
          </c:layout>
          <c:numFmt formatCode="&quot;R$&quot;\ 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layout>
            <c:manualLayout>
              <c:x val="-0.15986073012666085"/>
              <c:y val="-0.10934672328444839"/>
            </c:manualLayout>
          </c:layout>
          <c:numFmt formatCode="&quot;R$&quot;\ 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layout>
            <c:manualLayout>
              <c:x val="-9.9745684155012435E-2"/>
              <c:y val="-0.11618089348972642"/>
            </c:manualLayout>
          </c:layout>
          <c:numFmt formatCode="&quot;R$&quot;\ 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layout>
            <c:manualLayout>
              <c:x val="-0.10756887506913118"/>
              <c:y val="-0.12301506369500446"/>
            </c:manualLayout>
          </c:layout>
          <c:numFmt formatCode="&quot;R$&quot;\ 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layout>
            <c:manualLayout>
              <c:x val="-4.0745786011034492E-2"/>
              <c:y val="-0.10934672328444839"/>
            </c:manualLayout>
          </c:layout>
          <c:numFmt formatCode="&quot;R$&quot;\ 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</c:pivotFmt>
      <c:pivotFmt>
        <c:idx val="1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</c:pivotFmt>
      <c:pivotFmt>
        <c:idx val="12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237624425776544"/>
          <c:y val="6.8341702052780243E-2"/>
          <c:w val="0.87875202327396595"/>
          <c:h val="0.76731964382672635"/>
        </c:manualLayout>
      </c:layout>
      <c:lineChart>
        <c:grouping val="standard"/>
        <c:varyColors val="0"/>
        <c:ser>
          <c:idx val="0"/>
          <c:order val="0"/>
          <c:tx>
            <c:strRef>
              <c:f>ANALISES!$AI$8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ANALISES!$AH$9:$AH$12</c:f>
              <c:strCache>
                <c:ptCount val="3"/>
                <c:pt idx="0">
                  <c:v>ago/26</c:v>
                </c:pt>
                <c:pt idx="1">
                  <c:v>set/26</c:v>
                </c:pt>
                <c:pt idx="2">
                  <c:v>out/26</c:v>
                </c:pt>
              </c:strCache>
            </c:strRef>
          </c:cat>
          <c:val>
            <c:numRef>
              <c:f>ANALISES!$AI$9:$AI$12</c:f>
              <c:numCache>
                <c:formatCode>"R$"\ #.##000</c:formatCode>
                <c:ptCount val="3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F01-46B2-9E8A-10A3954F1EC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376921903"/>
        <c:axId val="376922383"/>
      </c:lineChart>
      <c:catAx>
        <c:axId val="376921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6922383"/>
        <c:crosses val="autoZero"/>
        <c:auto val="1"/>
        <c:lblAlgn val="ctr"/>
        <c:lblOffset val="100"/>
        <c:noMultiLvlLbl val="0"/>
      </c:catAx>
      <c:valAx>
        <c:axId val="376922383"/>
        <c:scaling>
          <c:orientation val="minMax"/>
        </c:scaling>
        <c:delete val="0"/>
        <c:axPos val="l"/>
        <c:numFmt formatCode="&quot;R$&quot;\ #.##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6921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08297812133158"/>
          <c:y val="0.10575423797618032"/>
          <c:w val="0.84293817462950282"/>
          <c:h val="0.774964141402575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ANALISES!$AX$6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ANALISES!$AW$7:$AW$10</c:f>
              <c:numCache>
                <c:formatCode>mmm/\y\y</c:formatCode>
                <c:ptCount val="4"/>
                <c:pt idx="0">
                  <c:v>46239</c:v>
                </c:pt>
                <c:pt idx="1">
                  <c:v>46270</c:v>
                </c:pt>
                <c:pt idx="2">
                  <c:v>46300</c:v>
                </c:pt>
              </c:numCache>
            </c:numRef>
          </c:cat>
          <c:val>
            <c:numRef>
              <c:f>ANALISES!$AX$7:$AX$10</c:f>
              <c:numCache>
                <c:formatCode>"R$"\ #,##0.00</c:formatCode>
                <c:ptCount val="4"/>
                <c:pt idx="0">
                  <c:v>55750</c:v>
                </c:pt>
                <c:pt idx="1">
                  <c:v>54657</c:v>
                </c:pt>
                <c:pt idx="2">
                  <c:v>53549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FA-4066-96F0-2A949B052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9442608"/>
        <c:axId val="649443088"/>
      </c:barChart>
      <c:dateAx>
        <c:axId val="649442608"/>
        <c:scaling>
          <c:orientation val="minMax"/>
        </c:scaling>
        <c:delete val="0"/>
        <c:axPos val="b"/>
        <c:numFmt formatCode="mmm/\y\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443088"/>
        <c:crosses val="autoZero"/>
        <c:auto val="1"/>
        <c:lblOffset val="100"/>
        <c:baseTimeUnit val="months"/>
      </c:dateAx>
      <c:valAx>
        <c:axId val="649443088"/>
        <c:scaling>
          <c:orientation val="minMax"/>
        </c:scaling>
        <c:delete val="0"/>
        <c:axPos val="l"/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44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191036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[corrigida_anon.xlsm]ANALISES!Tabela dinâmica2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ANALISES!$AO$8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ANALISES!$AN$9:$AN$12</c:f>
              <c:strCache>
                <c:ptCount val="3"/>
                <c:pt idx="0">
                  <c:v>ago/26</c:v>
                </c:pt>
                <c:pt idx="1">
                  <c:v>set/26</c:v>
                </c:pt>
                <c:pt idx="2">
                  <c:v>out/26</c:v>
                </c:pt>
              </c:strCache>
            </c:strRef>
          </c:cat>
          <c:val>
            <c:numRef>
              <c:f>ANALISES!$AO$9:$AO$12</c:f>
              <c:numCache>
                <c:formatCode>"R$"\ #,##0.00</c:formatCode>
                <c:ptCount val="3"/>
                <c:pt idx="0">
                  <c:v>3184.6</c:v>
                </c:pt>
                <c:pt idx="1">
                  <c:v>3402.15</c:v>
                </c:pt>
                <c:pt idx="2">
                  <c:v>3261.8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2A-48BD-A600-84576FF4B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826544527"/>
        <c:axId val="826547407"/>
      </c:barChart>
      <c:catAx>
        <c:axId val="826544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6547407"/>
        <c:crosses val="autoZero"/>
        <c:auto val="1"/>
        <c:lblAlgn val="ctr"/>
        <c:lblOffset val="100"/>
        <c:noMultiLvlLbl val="0"/>
      </c:catAx>
      <c:valAx>
        <c:axId val="826547407"/>
        <c:scaling>
          <c:orientation val="minMax"/>
        </c:scaling>
        <c:delete val="0"/>
        <c:axPos val="l"/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6544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91036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ANALISES!$AA$6</c:f>
              <c:strCache>
                <c:ptCount val="1"/>
                <c:pt idx="0">
                  <c:v>Status Percentual</c:v>
                </c:pt>
              </c:strCache>
            </c:strRef>
          </c:tx>
          <c:spPr>
            <a:solidFill>
              <a:srgbClr val="00B0F0"/>
            </a:solidFill>
            <a:ln w="127000" cap="rnd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2.2452888231300205E-7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9074312324165822"/>
                      <c:h val="9.11649298534648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C80-474A-91D1-CEF6B0DEF45B}"/>
                </c:ext>
              </c:extLst>
            </c:dLbl>
            <c:dLbl>
              <c:idx val="1"/>
              <c:layout>
                <c:manualLayout>
                  <c:x val="-8.5545504145926321E-3"/>
                  <c:y val="8.433388515584165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318478502482159"/>
                      <c:h val="7.044690540017978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C80-474A-91D1-CEF6B0DEF4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ANALISES!$AB$5:$AC$5</c:f>
              <c:strCache>
                <c:ptCount val="2"/>
                <c:pt idx="0">
                  <c:v>Previsto</c:v>
                </c:pt>
                <c:pt idx="1">
                  <c:v>Realizado</c:v>
                </c:pt>
              </c:strCache>
            </c:strRef>
          </c:cat>
          <c:val>
            <c:numRef>
              <c:f>ANALISES!$AB$6:$AC$6</c:f>
              <c:numCache>
                <c:formatCode>0.00\ "%"</c:formatCode>
                <c:ptCount val="2"/>
                <c:pt idx="0">
                  <c:v>3.863379161458925</c:v>
                </c:pt>
                <c:pt idx="1">
                  <c:v>96.136620838541077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80-474A-91D1-CEF6B0DEF45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"/>
        <c:axId val="608647087"/>
        <c:axId val="608648575"/>
      </c:barChart>
      <c:catAx>
        <c:axId val="6086470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08648575"/>
        <c:crosses val="autoZero"/>
        <c:auto val="1"/>
        <c:lblAlgn val="ctr"/>
        <c:lblOffset val="100"/>
        <c:noMultiLvlLbl val="0"/>
      </c:catAx>
      <c:valAx>
        <c:axId val="608648575"/>
        <c:scaling>
          <c:orientation val="minMax"/>
        </c:scaling>
        <c:delete val="1"/>
        <c:axPos val="l"/>
        <c:numFmt formatCode="0.00\ &quot;%&quot;" sourceLinked="1"/>
        <c:majorTickMark val="none"/>
        <c:minorTickMark val="none"/>
        <c:tickLblPos val="nextTo"/>
        <c:crossAx val="608647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image" Target="../media/image9.svg"/><Relationship Id="rId18" Type="http://schemas.openxmlformats.org/officeDocument/2006/relationships/image" Target="../media/image14.png"/><Relationship Id="rId26" Type="http://schemas.openxmlformats.org/officeDocument/2006/relationships/image" Target="../media/image21.svg"/><Relationship Id="rId3" Type="http://schemas.openxmlformats.org/officeDocument/2006/relationships/image" Target="../media/image3.svg"/><Relationship Id="rId21" Type="http://schemas.openxmlformats.org/officeDocument/2006/relationships/image" Target="../media/image16.png"/><Relationship Id="rId7" Type="http://schemas.openxmlformats.org/officeDocument/2006/relationships/chart" Target="../charts/chart3.xml"/><Relationship Id="rId12" Type="http://schemas.openxmlformats.org/officeDocument/2006/relationships/image" Target="../media/image8.png"/><Relationship Id="rId17" Type="http://schemas.openxmlformats.org/officeDocument/2006/relationships/image" Target="../media/image13.svg"/><Relationship Id="rId25" Type="http://schemas.openxmlformats.org/officeDocument/2006/relationships/image" Target="../media/image20.png"/><Relationship Id="rId2" Type="http://schemas.openxmlformats.org/officeDocument/2006/relationships/image" Target="../media/image2.png"/><Relationship Id="rId16" Type="http://schemas.openxmlformats.org/officeDocument/2006/relationships/image" Target="../media/image12.png"/><Relationship Id="rId20" Type="http://schemas.openxmlformats.org/officeDocument/2006/relationships/chart" Target="../charts/chart6.xml"/><Relationship Id="rId29" Type="http://schemas.openxmlformats.org/officeDocument/2006/relationships/image" Target="../media/image23.svg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11" Type="http://schemas.openxmlformats.org/officeDocument/2006/relationships/image" Target="../media/image7.svg"/><Relationship Id="rId24" Type="http://schemas.openxmlformats.org/officeDocument/2006/relationships/image" Target="../media/image19.svg"/><Relationship Id="rId5" Type="http://schemas.openxmlformats.org/officeDocument/2006/relationships/image" Target="../media/image5.svg"/><Relationship Id="rId15" Type="http://schemas.openxmlformats.org/officeDocument/2006/relationships/image" Target="../media/image11.svg"/><Relationship Id="rId23" Type="http://schemas.openxmlformats.org/officeDocument/2006/relationships/image" Target="../media/image18.png"/><Relationship Id="rId28" Type="http://schemas.openxmlformats.org/officeDocument/2006/relationships/image" Target="../media/image22.png"/><Relationship Id="rId10" Type="http://schemas.openxmlformats.org/officeDocument/2006/relationships/image" Target="../media/image6.png"/><Relationship Id="rId19" Type="http://schemas.openxmlformats.org/officeDocument/2006/relationships/image" Target="../media/image15.svg"/><Relationship Id="rId4" Type="http://schemas.openxmlformats.org/officeDocument/2006/relationships/image" Target="../media/image4.png"/><Relationship Id="rId9" Type="http://schemas.openxmlformats.org/officeDocument/2006/relationships/chart" Target="../charts/chart5.xml"/><Relationship Id="rId14" Type="http://schemas.openxmlformats.org/officeDocument/2006/relationships/image" Target="../media/image10.png"/><Relationship Id="rId22" Type="http://schemas.openxmlformats.org/officeDocument/2006/relationships/image" Target="../media/image17.svg"/><Relationship Id="rId27" Type="http://schemas.openxmlformats.org/officeDocument/2006/relationships/chart" Target="../charts/chart7.xml"/><Relationship Id="rId30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5" Type="http://schemas.openxmlformats.org/officeDocument/2006/relationships/image" Target="../media/image20.png"/><Relationship Id="rId4" Type="http://schemas.openxmlformats.org/officeDocument/2006/relationships/image" Target="../media/image19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539750</xdr:colOff>
      <xdr:row>10</xdr:row>
      <xdr:rowOff>69850</xdr:rowOff>
    </xdr:from>
    <xdr:to>
      <xdr:col>13</xdr:col>
      <xdr:colOff>203200</xdr:colOff>
      <xdr:row>43</xdr:row>
      <xdr:rowOff>69850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47FA82BE-EADF-40BE-99BF-868E14A7E6E6}"/>
            </a:ext>
          </a:extLst>
        </xdr:cNvPr>
        <xdr:cNvSpPr/>
      </xdr:nvSpPr>
      <xdr:spPr>
        <a:xfrm>
          <a:off x="2095500" y="2476500"/>
          <a:ext cx="5759450" cy="6076950"/>
        </a:xfrm>
        <a:prstGeom prst="roundRect">
          <a:avLst>
            <a:gd name="adj" fmla="val 5421"/>
          </a:avLst>
        </a:prstGeom>
        <a:solidFill>
          <a:srgbClr val="19103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>
              <a:latin typeface="+mj-lt"/>
            </a:rPr>
            <a:t>Distribuição</a:t>
          </a:r>
          <a:r>
            <a:rPr lang="pt-BR" sz="1600" b="1" baseline="0">
              <a:latin typeface="+mj-lt"/>
            </a:rPr>
            <a:t> de Receitas</a:t>
          </a:r>
          <a:endParaRPr lang="pt-BR" sz="1600" b="1">
            <a:latin typeface="+mj-lt"/>
          </a:endParaRPr>
        </a:p>
      </xdr:txBody>
    </xdr:sp>
    <xdr:clientData/>
  </xdr:twoCellAnchor>
  <xdr:twoCellAnchor>
    <xdr:from>
      <xdr:col>3</xdr:col>
      <xdr:colOff>542925</xdr:colOff>
      <xdr:row>2</xdr:row>
      <xdr:rowOff>85725</xdr:rowOff>
    </xdr:from>
    <xdr:to>
      <xdr:col>8</xdr:col>
      <xdr:colOff>247650</xdr:colOff>
      <xdr:row>9</xdr:row>
      <xdr:rowOff>73025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AF975A47-01B3-57A2-EFA6-A42A0A514971}"/>
            </a:ext>
          </a:extLst>
        </xdr:cNvPr>
        <xdr:cNvSpPr/>
      </xdr:nvSpPr>
      <xdr:spPr>
        <a:xfrm>
          <a:off x="2035175" y="1031875"/>
          <a:ext cx="2625725" cy="1320800"/>
        </a:xfrm>
        <a:prstGeom prst="roundRect">
          <a:avLst/>
        </a:prstGeom>
        <a:solidFill>
          <a:srgbClr val="19103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>
              <a:solidFill>
                <a:srgbClr val="FF9900"/>
              </a:solidFill>
              <a:latin typeface="+mj-lt"/>
            </a:rPr>
            <a:t>Total</a:t>
          </a:r>
          <a:r>
            <a:rPr lang="pt-BR" sz="1600" b="1" baseline="0">
              <a:solidFill>
                <a:srgbClr val="FF9900"/>
              </a:solidFill>
              <a:latin typeface="+mj-lt"/>
            </a:rPr>
            <a:t> Receitas</a:t>
          </a:r>
          <a:endParaRPr lang="pt-BR" sz="1600" b="1">
            <a:solidFill>
              <a:srgbClr val="FF9900"/>
            </a:solidFill>
            <a:latin typeface="+mj-lt"/>
          </a:endParaRPr>
        </a:p>
      </xdr:txBody>
    </xdr:sp>
    <xdr:clientData/>
  </xdr:twoCellAnchor>
  <xdr:twoCellAnchor>
    <xdr:from>
      <xdr:col>8</xdr:col>
      <xdr:colOff>492760</xdr:colOff>
      <xdr:row>2</xdr:row>
      <xdr:rowOff>85725</xdr:rowOff>
    </xdr:from>
    <xdr:to>
      <xdr:col>13</xdr:col>
      <xdr:colOff>203835</xdr:colOff>
      <xdr:row>9</xdr:row>
      <xdr:rowOff>73025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204E6F04-B1F9-306F-0EE7-E6C150B9ED11}"/>
            </a:ext>
          </a:extLst>
        </xdr:cNvPr>
        <xdr:cNvSpPr/>
      </xdr:nvSpPr>
      <xdr:spPr>
        <a:xfrm>
          <a:off x="4906010" y="1031875"/>
          <a:ext cx="2632075" cy="1320800"/>
        </a:xfrm>
        <a:prstGeom prst="roundRect">
          <a:avLst/>
        </a:prstGeom>
        <a:solidFill>
          <a:srgbClr val="19103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>
              <a:solidFill>
                <a:srgbClr val="FF0000"/>
              </a:solidFill>
              <a:latin typeface="+mj-lt"/>
            </a:rPr>
            <a:t>Total</a:t>
          </a:r>
          <a:r>
            <a:rPr lang="pt-BR" sz="1600" b="1" baseline="0">
              <a:solidFill>
                <a:srgbClr val="FF0000"/>
              </a:solidFill>
              <a:latin typeface="+mj-lt"/>
            </a:rPr>
            <a:t> Despesas</a:t>
          </a:r>
          <a:endParaRPr lang="pt-BR" sz="1600" b="1">
            <a:solidFill>
              <a:srgbClr val="FF0000"/>
            </a:solidFill>
            <a:latin typeface="+mj-lt"/>
          </a:endParaRPr>
        </a:p>
      </xdr:txBody>
    </xdr:sp>
    <xdr:clientData/>
  </xdr:twoCellAnchor>
  <xdr:twoCellAnchor>
    <xdr:from>
      <xdr:col>23</xdr:col>
      <xdr:colOff>275590</xdr:colOff>
      <xdr:row>2</xdr:row>
      <xdr:rowOff>82550</xdr:rowOff>
    </xdr:from>
    <xdr:to>
      <xdr:col>27</xdr:col>
      <xdr:colOff>593090</xdr:colOff>
      <xdr:row>9</xdr:row>
      <xdr:rowOff>69850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2563E9FB-6844-EA07-B8F1-34DD27D20236}"/>
            </a:ext>
          </a:extLst>
        </xdr:cNvPr>
        <xdr:cNvSpPr/>
      </xdr:nvSpPr>
      <xdr:spPr>
        <a:xfrm>
          <a:off x="14023340" y="1016000"/>
          <a:ext cx="2755900" cy="1276350"/>
        </a:xfrm>
        <a:prstGeom prst="roundRect">
          <a:avLst/>
        </a:prstGeom>
        <a:solidFill>
          <a:srgbClr val="19103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 baseline="0">
              <a:latin typeface="+mj-lt"/>
            </a:rPr>
            <a:t>Saldo Atual</a:t>
          </a:r>
          <a:endParaRPr lang="pt-BR" sz="1600" b="1">
            <a:latin typeface="+mj-lt"/>
          </a:endParaRPr>
        </a:p>
      </xdr:txBody>
    </xdr:sp>
    <xdr:clientData/>
  </xdr:twoCellAnchor>
  <xdr:twoCellAnchor>
    <xdr:from>
      <xdr:col>13</xdr:col>
      <xdr:colOff>407670</xdr:colOff>
      <xdr:row>2</xdr:row>
      <xdr:rowOff>82550</xdr:rowOff>
    </xdr:from>
    <xdr:to>
      <xdr:col>18</xdr:col>
      <xdr:colOff>115570</xdr:colOff>
      <xdr:row>9</xdr:row>
      <xdr:rowOff>69850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8FB9A39D-B444-C59E-7C93-4BA2399F0345}"/>
            </a:ext>
          </a:extLst>
        </xdr:cNvPr>
        <xdr:cNvSpPr/>
      </xdr:nvSpPr>
      <xdr:spPr>
        <a:xfrm>
          <a:off x="8669020" y="984250"/>
          <a:ext cx="3009900" cy="1187450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>
              <a:latin typeface="+mj-lt"/>
            </a:rPr>
            <a:t>Total</a:t>
          </a:r>
          <a:r>
            <a:rPr lang="pt-BR" sz="1600" b="1" baseline="0">
              <a:latin typeface="+mj-lt"/>
            </a:rPr>
            <a:t> Pago</a:t>
          </a:r>
          <a:endParaRPr lang="pt-BR" sz="1600" b="1">
            <a:latin typeface="+mj-lt"/>
          </a:endParaRPr>
        </a:p>
      </xdr:txBody>
    </xdr:sp>
    <xdr:clientData/>
  </xdr:twoCellAnchor>
  <xdr:twoCellAnchor>
    <xdr:from>
      <xdr:col>18</xdr:col>
      <xdr:colOff>341630</xdr:colOff>
      <xdr:row>2</xdr:row>
      <xdr:rowOff>82550</xdr:rowOff>
    </xdr:from>
    <xdr:to>
      <xdr:col>23</xdr:col>
      <xdr:colOff>49530</xdr:colOff>
      <xdr:row>9</xdr:row>
      <xdr:rowOff>69850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27CEB366-E6E7-22DD-5CA1-63ED0A2BF424}"/>
            </a:ext>
          </a:extLst>
        </xdr:cNvPr>
        <xdr:cNvSpPr/>
      </xdr:nvSpPr>
      <xdr:spPr>
        <a:xfrm>
          <a:off x="11041380" y="1016000"/>
          <a:ext cx="2755900" cy="1276350"/>
        </a:xfrm>
        <a:prstGeom prst="roundRect">
          <a:avLst/>
        </a:prstGeom>
        <a:solidFill>
          <a:srgbClr val="FF99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>
              <a:solidFill>
                <a:srgbClr val="002060"/>
              </a:solidFill>
              <a:latin typeface="+mj-lt"/>
            </a:rPr>
            <a:t>Falta Pagar</a:t>
          </a:r>
        </a:p>
      </xdr:txBody>
    </xdr:sp>
    <xdr:clientData/>
  </xdr:twoCellAnchor>
  <xdr:twoCellAnchor>
    <xdr:from>
      <xdr:col>2</xdr:col>
      <xdr:colOff>225425</xdr:colOff>
      <xdr:row>12</xdr:row>
      <xdr:rowOff>25400</xdr:rowOff>
    </xdr:from>
    <xdr:to>
      <xdr:col>14</xdr:col>
      <xdr:colOff>98425</xdr:colOff>
      <xdr:row>43</xdr:row>
      <xdr:rowOff>168275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16AF5C97-50E3-4F6B-A3A9-9BD44F09ED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339725</xdr:colOff>
      <xdr:row>10</xdr:row>
      <xdr:rowOff>73025</xdr:rowOff>
    </xdr:from>
    <xdr:to>
      <xdr:col>23</xdr:col>
      <xdr:colOff>476250</xdr:colOff>
      <xdr:row>42</xdr:row>
      <xdr:rowOff>107950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348F51B1-EB21-48B9-8EFC-DFE647F4C198}"/>
            </a:ext>
          </a:extLst>
        </xdr:cNvPr>
        <xdr:cNvSpPr/>
      </xdr:nvSpPr>
      <xdr:spPr>
        <a:xfrm>
          <a:off x="7673975" y="2543175"/>
          <a:ext cx="5978525" cy="6130925"/>
        </a:xfrm>
        <a:prstGeom prst="roundRect">
          <a:avLst>
            <a:gd name="adj" fmla="val 5421"/>
          </a:avLst>
        </a:prstGeom>
        <a:solidFill>
          <a:srgbClr val="19103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Distribuição</a:t>
          </a:r>
          <a:r>
            <a:rPr lang="pt-BR" sz="14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 </a:t>
          </a:r>
          <a:r>
            <a:rPr lang="pt-BR" sz="1400" b="1" baseline="0">
              <a:solidFill>
                <a:schemeClr val="lt1"/>
              </a:solidFill>
              <a:effectLst/>
              <a:latin typeface="+mj-lt"/>
              <a:ea typeface="+mn-ea"/>
              <a:cs typeface="+mn-cs"/>
            </a:rPr>
            <a:t>Despesas(%)</a:t>
          </a:r>
          <a:endParaRPr lang="pt-BR" sz="1400">
            <a:effectLst/>
            <a:latin typeface="+mj-lt"/>
          </a:endParaRPr>
        </a:p>
      </xdr:txBody>
    </xdr:sp>
    <xdr:clientData/>
  </xdr:twoCellAnchor>
  <xdr:twoCellAnchor>
    <xdr:from>
      <xdr:col>24</xdr:col>
      <xdr:colOff>15874</xdr:colOff>
      <xdr:row>10</xdr:row>
      <xdr:rowOff>92074</xdr:rowOff>
    </xdr:from>
    <xdr:to>
      <xdr:col>27</xdr:col>
      <xdr:colOff>574674</xdr:colOff>
      <xdr:row>42</xdr:row>
      <xdr:rowOff>114300</xdr:rowOff>
    </xdr:to>
    <xdr:sp macro="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286E9D29-CD50-9974-8B65-1D6AE3AA96BF}"/>
            </a:ext>
          </a:extLst>
        </xdr:cNvPr>
        <xdr:cNvSpPr/>
      </xdr:nvSpPr>
      <xdr:spPr>
        <a:xfrm>
          <a:off x="13776324" y="2562224"/>
          <a:ext cx="2311400" cy="6118226"/>
        </a:xfrm>
        <a:prstGeom prst="roundRect">
          <a:avLst>
            <a:gd name="adj" fmla="val 5421"/>
          </a:avLst>
        </a:prstGeom>
        <a:solidFill>
          <a:srgbClr val="19103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>
              <a:latin typeface="+mj-lt"/>
            </a:rPr>
            <a:t>Status de Pagamento</a:t>
          </a:r>
        </a:p>
      </xdr:txBody>
    </xdr:sp>
    <xdr:clientData/>
  </xdr:twoCellAnchor>
  <xdr:twoCellAnchor>
    <xdr:from>
      <xdr:col>1</xdr:col>
      <xdr:colOff>57150</xdr:colOff>
      <xdr:row>44</xdr:row>
      <xdr:rowOff>19050</xdr:rowOff>
    </xdr:from>
    <xdr:to>
      <xdr:col>33</xdr:col>
      <xdr:colOff>0</xdr:colOff>
      <xdr:row>44</xdr:row>
      <xdr:rowOff>19050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C30AEBC3-1C85-8CE2-0103-E187EA507578}"/>
            </a:ext>
          </a:extLst>
        </xdr:cNvPr>
        <xdr:cNvCxnSpPr/>
      </xdr:nvCxnSpPr>
      <xdr:spPr>
        <a:xfrm>
          <a:off x="393700" y="8686800"/>
          <a:ext cx="1945005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98425</xdr:colOff>
      <xdr:row>9</xdr:row>
      <xdr:rowOff>127000</xdr:rowOff>
    </xdr:from>
    <xdr:to>
      <xdr:col>3</xdr:col>
      <xdr:colOff>346075</xdr:colOff>
      <xdr:row>43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ÊS REF">
              <a:extLst>
                <a:ext uri="{FF2B5EF4-FFF2-40B4-BE49-F238E27FC236}">
                  <a16:creationId xmlns:a16="http://schemas.microsoft.com/office/drawing/2014/main" id="{187457B8-44E5-4981-A2AD-804D3637DF9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REF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425" y="2228850"/>
              <a:ext cx="1905000" cy="5759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107950</xdr:colOff>
      <xdr:row>5</xdr:row>
      <xdr:rowOff>165100</xdr:rowOff>
    </xdr:from>
    <xdr:to>
      <xdr:col>8</xdr:col>
      <xdr:colOff>127000</xdr:colOff>
      <xdr:row>8</xdr:row>
      <xdr:rowOff>146050</xdr:rowOff>
    </xdr:to>
    <xdr:sp macro="" textlink="ANALISES!Q52">
      <xdr:nvSpPr>
        <xdr:cNvPr id="12" name="CaixaDeTexto 11">
          <a:extLst>
            <a:ext uri="{FF2B5EF4-FFF2-40B4-BE49-F238E27FC236}">
              <a16:creationId xmlns:a16="http://schemas.microsoft.com/office/drawing/2014/main" id="{BF8BA654-E35C-8C12-A4F8-81C69B9CF7A7}"/>
            </a:ext>
          </a:extLst>
        </xdr:cNvPr>
        <xdr:cNvSpPr txBox="1"/>
      </xdr:nvSpPr>
      <xdr:spPr>
        <a:xfrm>
          <a:off x="2184400" y="1682750"/>
          <a:ext cx="2355850" cy="552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E60B36A-035F-4786-B321-DBBC7B2808F7}" type="TxLink">
            <a:rPr lang="en-US" sz="3000" b="1" i="0" u="none" strike="noStrike">
              <a:solidFill>
                <a:srgbClr val="DF8E17"/>
              </a:solidFill>
              <a:latin typeface="Aptos Narrow"/>
            </a:rPr>
            <a:pPr/>
            <a:t>R$ 55.006,25</a:t>
          </a:fld>
          <a:endParaRPr lang="pt-BR" sz="3000">
            <a:solidFill>
              <a:srgbClr val="DF8E17"/>
            </a:solidFill>
          </a:endParaRPr>
        </a:p>
      </xdr:txBody>
    </xdr:sp>
    <xdr:clientData/>
  </xdr:twoCellAnchor>
  <xdr:twoCellAnchor>
    <xdr:from>
      <xdr:col>8</xdr:col>
      <xdr:colOff>574675</xdr:colOff>
      <xdr:row>5</xdr:row>
      <xdr:rowOff>165100</xdr:rowOff>
    </xdr:from>
    <xdr:to>
      <xdr:col>13</xdr:col>
      <xdr:colOff>15875</xdr:colOff>
      <xdr:row>8</xdr:row>
      <xdr:rowOff>146050</xdr:rowOff>
    </xdr:to>
    <xdr:sp macro="" textlink="ANALISES!Q53">
      <xdr:nvSpPr>
        <xdr:cNvPr id="18" name="CaixaDeTexto 17">
          <a:extLst>
            <a:ext uri="{FF2B5EF4-FFF2-40B4-BE49-F238E27FC236}">
              <a16:creationId xmlns:a16="http://schemas.microsoft.com/office/drawing/2014/main" id="{404C5F8F-B8A5-49E4-B6DE-158958841E08}"/>
            </a:ext>
          </a:extLst>
        </xdr:cNvPr>
        <xdr:cNvSpPr txBox="1"/>
      </xdr:nvSpPr>
      <xdr:spPr>
        <a:xfrm>
          <a:off x="4987925" y="1682750"/>
          <a:ext cx="2362200" cy="552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F8EF9606-CCAF-42ED-A578-0DF73D6AC6C7}" type="TxLink">
            <a:rPr lang="en-US" sz="3000" b="1" i="0" u="none" strike="noStrike">
              <a:solidFill>
                <a:srgbClr val="FF0000"/>
              </a:solidFill>
              <a:latin typeface="Aptos Narrow"/>
              <a:ea typeface="+mn-ea"/>
              <a:cs typeface="+mn-cs"/>
            </a:rPr>
            <a:pPr marL="0" indent="0"/>
            <a:t>R$ 47.630,75</a:t>
          </a:fld>
          <a:endParaRPr lang="pt-BR" sz="3000" b="1" i="0" u="none" strike="noStrike">
            <a:solidFill>
              <a:srgbClr val="FF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565150</xdr:colOff>
      <xdr:row>5</xdr:row>
      <xdr:rowOff>165100</xdr:rowOff>
    </xdr:from>
    <xdr:to>
      <xdr:col>18</xdr:col>
      <xdr:colOff>3175</xdr:colOff>
      <xdr:row>8</xdr:row>
      <xdr:rowOff>146050</xdr:rowOff>
    </xdr:to>
    <xdr:sp macro="" textlink="ANALISES!Q55">
      <xdr:nvSpPr>
        <xdr:cNvPr id="19" name="CaixaDeTexto 18">
          <a:extLst>
            <a:ext uri="{FF2B5EF4-FFF2-40B4-BE49-F238E27FC236}">
              <a16:creationId xmlns:a16="http://schemas.microsoft.com/office/drawing/2014/main" id="{F3CE5AFD-45E5-4475-B6CF-32C34EA0009B}"/>
            </a:ext>
          </a:extLst>
        </xdr:cNvPr>
        <xdr:cNvSpPr txBox="1"/>
      </xdr:nvSpPr>
      <xdr:spPr>
        <a:xfrm>
          <a:off x="8826500" y="1581150"/>
          <a:ext cx="2740025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5D72059-8B86-43FF-BAF0-D78536A9A066}" type="TxLink">
            <a:rPr lang="en-US" sz="3000" b="1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/>
            <a:t>R$ 34.361,05</a:t>
          </a:fld>
          <a:endParaRPr lang="pt-BR" sz="3000" b="1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111125</xdr:colOff>
      <xdr:row>4</xdr:row>
      <xdr:rowOff>3176</xdr:rowOff>
    </xdr:from>
    <xdr:to>
      <xdr:col>3</xdr:col>
      <xdr:colOff>352425</xdr:colOff>
      <xdr:row>9</xdr:row>
      <xdr:rowOff>117476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Status Pgto">
              <a:extLst>
                <a:ext uri="{FF2B5EF4-FFF2-40B4-BE49-F238E27FC236}">
                  <a16:creationId xmlns:a16="http://schemas.microsoft.com/office/drawing/2014/main" id="{7CF0C53F-27A4-42EA-B330-4DCACD73196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Pg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125" y="1247776"/>
              <a:ext cx="1898650" cy="971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18</xdr:col>
      <xdr:colOff>428625</xdr:colOff>
      <xdr:row>5</xdr:row>
      <xdr:rowOff>165100</xdr:rowOff>
    </xdr:from>
    <xdr:to>
      <xdr:col>22</xdr:col>
      <xdr:colOff>450850</xdr:colOff>
      <xdr:row>8</xdr:row>
      <xdr:rowOff>146050</xdr:rowOff>
    </xdr:to>
    <xdr:sp macro="" textlink="ANALISES!Q56">
      <xdr:nvSpPr>
        <xdr:cNvPr id="22" name="CaixaDeTexto 21">
          <a:extLst>
            <a:ext uri="{FF2B5EF4-FFF2-40B4-BE49-F238E27FC236}">
              <a16:creationId xmlns:a16="http://schemas.microsoft.com/office/drawing/2014/main" id="{6EE789DD-D298-D34D-9172-1A3354D91F2F}"/>
            </a:ext>
          </a:extLst>
        </xdr:cNvPr>
        <xdr:cNvSpPr txBox="1"/>
      </xdr:nvSpPr>
      <xdr:spPr>
        <a:xfrm>
          <a:off x="11991975" y="1581150"/>
          <a:ext cx="2670175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8C0DB67F-4C9F-4E53-B79C-CDAD23C57946}" type="TxLink">
            <a:rPr lang="en-US" sz="3000" b="1" i="0" u="none" strike="noStrike">
              <a:solidFill>
                <a:srgbClr val="002060"/>
              </a:solidFill>
              <a:latin typeface="Aptos Narrow"/>
              <a:ea typeface="+mn-ea"/>
              <a:cs typeface="+mn-cs"/>
            </a:rPr>
            <a:pPr marL="0" indent="0"/>
            <a:t>R$ 13.269,70</a:t>
          </a:fld>
          <a:endParaRPr lang="pt-BR" sz="3000" b="1" i="0" u="none" strike="noStrike">
            <a:solidFill>
              <a:srgbClr val="00206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oneCell">
    <xdr:from>
      <xdr:col>7</xdr:col>
      <xdr:colOff>92075</xdr:colOff>
      <xdr:row>2</xdr:row>
      <xdr:rowOff>47625</xdr:rowOff>
    </xdr:from>
    <xdr:to>
      <xdr:col>8</xdr:col>
      <xdr:colOff>117475</xdr:colOff>
      <xdr:row>5</xdr:row>
      <xdr:rowOff>169430</xdr:rowOff>
    </xdr:to>
    <xdr:pic>
      <xdr:nvPicPr>
        <xdr:cNvPr id="24" name="Gráfico 23" descr="Tendência ascendente estrutura de tópicos">
          <a:extLst>
            <a:ext uri="{FF2B5EF4-FFF2-40B4-BE49-F238E27FC236}">
              <a16:creationId xmlns:a16="http://schemas.microsoft.com/office/drawing/2014/main" id="{84254C58-1A9E-ED53-4240-F22BF2B2F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921125" y="993775"/>
          <a:ext cx="657225" cy="648855"/>
        </a:xfrm>
        <a:prstGeom prst="rect">
          <a:avLst/>
        </a:prstGeom>
      </xdr:spPr>
    </xdr:pic>
    <xdr:clientData/>
  </xdr:twoCellAnchor>
  <xdr:twoCellAnchor editAs="oneCell">
    <xdr:from>
      <xdr:col>11</xdr:col>
      <xdr:colOff>561975</xdr:colOff>
      <xdr:row>2</xdr:row>
      <xdr:rowOff>66675</xdr:rowOff>
    </xdr:from>
    <xdr:to>
      <xdr:col>12</xdr:col>
      <xdr:colOff>622300</xdr:colOff>
      <xdr:row>6</xdr:row>
      <xdr:rowOff>31852</xdr:rowOff>
    </xdr:to>
    <xdr:pic>
      <xdr:nvPicPr>
        <xdr:cNvPr id="26" name="Gráfico 25" descr="Dinheiro voador com preenchimento sólido">
          <a:extLst>
            <a:ext uri="{FF2B5EF4-FFF2-40B4-BE49-F238E27FC236}">
              <a16:creationId xmlns:a16="http://schemas.microsoft.com/office/drawing/2014/main" id="{56E44E28-A03E-8053-26DA-1E43F98DE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502525" y="968375"/>
          <a:ext cx="720725" cy="650977"/>
        </a:xfrm>
        <a:prstGeom prst="rect">
          <a:avLst/>
        </a:prstGeom>
      </xdr:spPr>
    </xdr:pic>
    <xdr:clientData/>
  </xdr:twoCellAnchor>
  <xdr:twoCellAnchor>
    <xdr:from>
      <xdr:col>23</xdr:col>
      <xdr:colOff>428625</xdr:colOff>
      <xdr:row>5</xdr:row>
      <xdr:rowOff>149225</xdr:rowOff>
    </xdr:from>
    <xdr:to>
      <xdr:col>27</xdr:col>
      <xdr:colOff>454025</xdr:colOff>
      <xdr:row>8</xdr:row>
      <xdr:rowOff>130175</xdr:rowOff>
    </xdr:to>
    <xdr:sp macro="" textlink="ANALISES!Q57">
      <xdr:nvSpPr>
        <xdr:cNvPr id="27" name="CaixaDeTexto 26">
          <a:extLst>
            <a:ext uri="{FF2B5EF4-FFF2-40B4-BE49-F238E27FC236}">
              <a16:creationId xmlns:a16="http://schemas.microsoft.com/office/drawing/2014/main" id="{7E595E09-5991-B9B2-1840-1700CC6E8861}"/>
            </a:ext>
          </a:extLst>
        </xdr:cNvPr>
        <xdr:cNvSpPr txBox="1"/>
      </xdr:nvSpPr>
      <xdr:spPr>
        <a:xfrm>
          <a:off x="13604875" y="1666875"/>
          <a:ext cx="2362200" cy="552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13E1E94E-F779-4854-84B8-1C9DAB489063}" type="TxLink">
            <a:rPr lang="en-US" sz="3000" b="1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/>
            <a:t>R$ 20.645,20</a:t>
          </a:fld>
          <a:endParaRPr lang="pt-BR" sz="3000" b="1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98424</xdr:colOff>
      <xdr:row>13</xdr:row>
      <xdr:rowOff>34924</xdr:rowOff>
    </xdr:from>
    <xdr:to>
      <xdr:col>13</xdr:col>
      <xdr:colOff>0</xdr:colOff>
      <xdr:row>42</xdr:row>
      <xdr:rowOff>111124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2A2BCD12-F261-46BD-B584-3FE17443B4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530226</xdr:colOff>
      <xdr:row>13</xdr:row>
      <xdr:rowOff>53975</xdr:rowOff>
    </xdr:from>
    <xdr:to>
      <xdr:col>23</xdr:col>
      <xdr:colOff>355600</xdr:colOff>
      <xdr:row>42</xdr:row>
      <xdr:rowOff>111125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66CAEAB9-A5FC-4D70-8143-062053D69C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28</xdr:col>
      <xdr:colOff>149224</xdr:colOff>
      <xdr:row>2</xdr:row>
      <xdr:rowOff>149224</xdr:rowOff>
    </xdr:from>
    <xdr:to>
      <xdr:col>34</xdr:col>
      <xdr:colOff>38100</xdr:colOff>
      <xdr:row>43</xdr:row>
      <xdr:rowOff>6350</xdr:rowOff>
    </xdr:to>
    <xdr:sp macro="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BE894F48-AECB-8D44-05F4-35F663AD57AF}"/>
            </a:ext>
          </a:extLst>
        </xdr:cNvPr>
        <xdr:cNvSpPr/>
      </xdr:nvSpPr>
      <xdr:spPr>
        <a:xfrm>
          <a:off x="18322924" y="1069974"/>
          <a:ext cx="3851276" cy="6886576"/>
        </a:xfrm>
        <a:prstGeom prst="roundRect">
          <a:avLst>
            <a:gd name="adj" fmla="val 5421"/>
          </a:avLst>
        </a:prstGeom>
        <a:solidFill>
          <a:srgbClr val="19103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>
              <a:latin typeface="+mj-lt"/>
            </a:rPr>
            <a:t>Principais Despesas(Vlr)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</xdr:row>
          <xdr:rowOff>123825</xdr:rowOff>
        </xdr:from>
        <xdr:to>
          <xdr:col>3</xdr:col>
          <xdr:colOff>361950</xdr:colOff>
          <xdr:row>3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Aptos Narrow"/>
                </a:rPr>
                <a:t>ATUALIZAR BD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241300</xdr:colOff>
      <xdr:row>6</xdr:row>
      <xdr:rowOff>25400</xdr:rowOff>
    </xdr:from>
    <xdr:to>
      <xdr:col>33</xdr:col>
      <xdr:colOff>565150</xdr:colOff>
      <xdr:row>41</xdr:row>
      <xdr:rowOff>171450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1D739CA-91C1-4656-BB24-9DFDDC94E3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311150</xdr:colOff>
      <xdr:row>1</xdr:row>
      <xdr:rowOff>127000</xdr:rowOff>
    </xdr:from>
    <xdr:to>
      <xdr:col>14</xdr:col>
      <xdr:colOff>228600</xdr:colOff>
      <xdr:row>2</xdr:row>
      <xdr:rowOff>12700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CC2985FD-1883-BA14-2268-0E9BA0DE6B39}"/>
            </a:ext>
          </a:extLst>
        </xdr:cNvPr>
        <xdr:cNvGrpSpPr/>
      </xdr:nvGrpSpPr>
      <xdr:grpSpPr>
        <a:xfrm>
          <a:off x="7216775" y="336550"/>
          <a:ext cx="1889125" cy="619125"/>
          <a:chOff x="7251700" y="298450"/>
          <a:chExt cx="1898650" cy="615950"/>
        </a:xfrm>
      </xdr:grpSpPr>
      <xdr:sp macro="[0]!Ir_Dashboard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E09ED427-7867-7283-15BC-4C24B13BF50C}"/>
              </a:ext>
            </a:extLst>
          </xdr:cNvPr>
          <xdr:cNvSpPr/>
        </xdr:nvSpPr>
        <xdr:spPr>
          <a:xfrm>
            <a:off x="7251700" y="298450"/>
            <a:ext cx="1898650" cy="615950"/>
          </a:xfrm>
          <a:prstGeom prst="round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sp macro="[0]!Ir_Dashboard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14CEFF4C-B133-172B-F00D-5D3143F57FBC}"/>
              </a:ext>
            </a:extLst>
          </xdr:cNvPr>
          <xdr:cNvSpPr/>
        </xdr:nvSpPr>
        <xdr:spPr>
          <a:xfrm>
            <a:off x="7404401" y="367494"/>
            <a:ext cx="1612301" cy="406843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/>
          </a:sp3d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1" cap="none" spc="5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Dashboard</a:t>
            </a:r>
          </a:p>
        </xdr:txBody>
      </xdr:sp>
    </xdr:grpSp>
    <xdr:clientData/>
  </xdr:twoCellAnchor>
  <xdr:twoCellAnchor>
    <xdr:from>
      <xdr:col>0</xdr:col>
      <xdr:colOff>63500</xdr:colOff>
      <xdr:row>44</xdr:row>
      <xdr:rowOff>6350</xdr:rowOff>
    </xdr:from>
    <xdr:to>
      <xdr:col>33</xdr:col>
      <xdr:colOff>609600</xdr:colOff>
      <xdr:row>44</xdr:row>
      <xdr:rowOff>114300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B5FD4F1E-45A8-4B84-99EB-595CAF3044D8}"/>
            </a:ext>
          </a:extLst>
        </xdr:cNvPr>
        <xdr:cNvSpPr/>
      </xdr:nvSpPr>
      <xdr:spPr>
        <a:xfrm>
          <a:off x="63500" y="8108950"/>
          <a:ext cx="22015450" cy="107950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326420</xdr:colOff>
      <xdr:row>1</xdr:row>
      <xdr:rowOff>88900</xdr:rowOff>
    </xdr:from>
    <xdr:to>
      <xdr:col>17</xdr:col>
      <xdr:colOff>642470</xdr:colOff>
      <xdr:row>1</xdr:row>
      <xdr:rowOff>704850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2441263D-2AAB-30CE-BB4F-ADB8503D3729}"/>
            </a:ext>
          </a:extLst>
        </xdr:cNvPr>
        <xdr:cNvGrpSpPr/>
      </xdr:nvGrpSpPr>
      <xdr:grpSpPr>
        <a:xfrm>
          <a:off x="9203720" y="298450"/>
          <a:ext cx="2287725" cy="615950"/>
          <a:chOff x="9248170" y="260350"/>
          <a:chExt cx="1937967" cy="615950"/>
        </a:xfrm>
      </xdr:grpSpPr>
      <xdr:sp macro="[0]!Ir_Lancamentos" textlink="">
        <xdr:nvSpPr>
          <xdr:cNvPr id="29" name="Retângulo: Cantos Arredondados 28">
            <a:extLst>
              <a:ext uri="{FF2B5EF4-FFF2-40B4-BE49-F238E27FC236}">
                <a16:creationId xmlns:a16="http://schemas.microsoft.com/office/drawing/2014/main" id="{49BC4E4C-6148-5B9F-3558-51B03963CD8D}"/>
              </a:ext>
            </a:extLst>
          </xdr:cNvPr>
          <xdr:cNvSpPr/>
        </xdr:nvSpPr>
        <xdr:spPr>
          <a:xfrm>
            <a:off x="9258300" y="260350"/>
            <a:ext cx="1898650" cy="615950"/>
          </a:xfrm>
          <a:prstGeom prst="roundRect">
            <a:avLst/>
          </a:prstGeom>
          <a:solidFill>
            <a:srgbClr val="002060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sp macro="[0]!Ir_Lancamentos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8EDE222-E9F5-4447-2B15-BE9BCF63DE31}"/>
              </a:ext>
            </a:extLst>
          </xdr:cNvPr>
          <xdr:cNvSpPr/>
        </xdr:nvSpPr>
        <xdr:spPr>
          <a:xfrm>
            <a:off x="9248170" y="329394"/>
            <a:ext cx="1937967" cy="406843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/>
          </a:sp3d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1" cap="none" spc="5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Lançamentos</a:t>
            </a:r>
          </a:p>
        </xdr:txBody>
      </xdr:sp>
    </xdr:grpSp>
    <xdr:clientData/>
  </xdr:twoCellAnchor>
  <xdr:twoCellAnchor>
    <xdr:from>
      <xdr:col>0</xdr:col>
      <xdr:colOff>101600</xdr:colOff>
      <xdr:row>45</xdr:row>
      <xdr:rowOff>25400</xdr:rowOff>
    </xdr:from>
    <xdr:to>
      <xdr:col>12</xdr:col>
      <xdr:colOff>215900</xdr:colOff>
      <xdr:row>59</xdr:row>
      <xdr:rowOff>63500</xdr:rowOff>
    </xdr:to>
    <xdr:sp macro="" textlink="">
      <xdr:nvSpPr>
        <xdr:cNvPr id="49" name="Retângulo: Cantos Arredondados 48">
          <a:extLst>
            <a:ext uri="{FF2B5EF4-FFF2-40B4-BE49-F238E27FC236}">
              <a16:creationId xmlns:a16="http://schemas.microsoft.com/office/drawing/2014/main" id="{D4E75DEA-3D29-5916-A11F-D523C05AD653}"/>
            </a:ext>
          </a:extLst>
        </xdr:cNvPr>
        <xdr:cNvSpPr/>
      </xdr:nvSpPr>
      <xdr:spPr>
        <a:xfrm>
          <a:off x="101600" y="8299450"/>
          <a:ext cx="7715250" cy="2438400"/>
        </a:xfrm>
        <a:prstGeom prst="roundRect">
          <a:avLst>
            <a:gd name="adj" fmla="val 5421"/>
          </a:avLst>
        </a:prstGeom>
        <a:solidFill>
          <a:srgbClr val="19103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>
              <a:latin typeface="+mj-lt"/>
            </a:rPr>
            <a:t>Investimentos</a:t>
          </a:r>
        </a:p>
      </xdr:txBody>
    </xdr:sp>
    <xdr:clientData/>
  </xdr:twoCellAnchor>
  <xdr:twoCellAnchor>
    <xdr:from>
      <xdr:col>12</xdr:col>
      <xdr:colOff>283696</xdr:colOff>
      <xdr:row>45</xdr:row>
      <xdr:rowOff>47812</xdr:rowOff>
    </xdr:from>
    <xdr:to>
      <xdr:col>17</xdr:col>
      <xdr:colOff>636121</xdr:colOff>
      <xdr:row>59</xdr:row>
      <xdr:rowOff>92262</xdr:rowOff>
    </xdr:to>
    <xdr:sp macro="" textlink="EMPRESTIMOS!#REF!">
      <xdr:nvSpPr>
        <xdr:cNvPr id="50" name="Retângulo: Cantos Arredondados 49">
          <a:extLst>
            <a:ext uri="{FF2B5EF4-FFF2-40B4-BE49-F238E27FC236}">
              <a16:creationId xmlns:a16="http://schemas.microsoft.com/office/drawing/2014/main" id="{6BD67AC7-BD6A-4D23-71FB-4414F090478A}"/>
            </a:ext>
          </a:extLst>
        </xdr:cNvPr>
        <xdr:cNvSpPr/>
      </xdr:nvSpPr>
      <xdr:spPr>
        <a:xfrm>
          <a:off x="7851402" y="8355106"/>
          <a:ext cx="3639484" cy="2449980"/>
        </a:xfrm>
        <a:prstGeom prst="roundRect">
          <a:avLst>
            <a:gd name="adj" fmla="val 5421"/>
          </a:avLst>
        </a:prstGeom>
        <a:solidFill>
          <a:srgbClr val="19103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Cartão de Crédito</a:t>
          </a:r>
          <a:endParaRPr lang="pt-BR">
            <a:effectLst/>
          </a:endParaRPr>
        </a:p>
      </xdr:txBody>
    </xdr:sp>
    <xdr:clientData/>
  </xdr:twoCellAnchor>
  <xdr:twoCellAnchor>
    <xdr:from>
      <xdr:col>18</xdr:col>
      <xdr:colOff>107950</xdr:colOff>
      <xdr:row>45</xdr:row>
      <xdr:rowOff>25400</xdr:rowOff>
    </xdr:from>
    <xdr:to>
      <xdr:col>23</xdr:col>
      <xdr:colOff>641350</xdr:colOff>
      <xdr:row>59</xdr:row>
      <xdr:rowOff>114300</xdr:rowOff>
    </xdr:to>
    <xdr:sp macro="[0]!ir_Emprestimos" textlink="">
      <xdr:nvSpPr>
        <xdr:cNvPr id="51" name="Retângulo: Cantos Arredondados 50">
          <a:extLst>
            <a:ext uri="{FF2B5EF4-FFF2-40B4-BE49-F238E27FC236}">
              <a16:creationId xmlns:a16="http://schemas.microsoft.com/office/drawing/2014/main" id="{8A3A153D-0204-B413-CF3D-F3DFD203C612}"/>
            </a:ext>
          </a:extLst>
        </xdr:cNvPr>
        <xdr:cNvSpPr/>
      </xdr:nvSpPr>
      <xdr:spPr>
        <a:xfrm>
          <a:off x="11671300" y="8299450"/>
          <a:ext cx="3835400" cy="2489200"/>
        </a:xfrm>
        <a:prstGeom prst="roundRect">
          <a:avLst>
            <a:gd name="adj" fmla="val 5421"/>
          </a:avLst>
        </a:prstGeom>
        <a:solidFill>
          <a:srgbClr val="19103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>
              <a:latin typeface="+mj-lt"/>
            </a:rPr>
            <a:t>Emprestimos</a:t>
          </a:r>
        </a:p>
      </xdr:txBody>
    </xdr:sp>
    <xdr:clientData/>
  </xdr:twoCellAnchor>
  <xdr:twoCellAnchor>
    <xdr:from>
      <xdr:col>0</xdr:col>
      <xdr:colOff>171450</xdr:colOff>
      <xdr:row>47</xdr:row>
      <xdr:rowOff>50800</xdr:rowOff>
    </xdr:from>
    <xdr:to>
      <xdr:col>12</xdr:col>
      <xdr:colOff>6350</xdr:colOff>
      <xdr:row>58</xdr:row>
      <xdr:rowOff>19050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CE65CCBF-484F-477D-B885-94CC6DA066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323850</xdr:colOff>
      <xdr:row>46</xdr:row>
      <xdr:rowOff>133350</xdr:rowOff>
    </xdr:from>
    <xdr:to>
      <xdr:col>17</xdr:col>
      <xdr:colOff>44450</xdr:colOff>
      <xdr:row>49</xdr:row>
      <xdr:rowOff>114300</xdr:rowOff>
    </xdr:to>
    <xdr:sp macro="[0]!CorCartao" textlink="ANALISES!AO4">
      <xdr:nvSpPr>
        <xdr:cNvPr id="2" name="CaixaDeTexto 1">
          <a:extLst>
            <a:ext uri="{FF2B5EF4-FFF2-40B4-BE49-F238E27FC236}">
              <a16:creationId xmlns:a16="http://schemas.microsoft.com/office/drawing/2014/main" id="{11149234-8BB2-6292-A4DD-2339578FE934}"/>
            </a:ext>
          </a:extLst>
        </xdr:cNvPr>
        <xdr:cNvSpPr txBox="1"/>
      </xdr:nvSpPr>
      <xdr:spPr>
        <a:xfrm>
          <a:off x="7924800" y="8597900"/>
          <a:ext cx="3022600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026093CF-8864-4FF9-8A5E-54F67E7CC25A}" type="TxLink">
            <a:rPr lang="en-US" sz="3000" b="0" i="0" u="none" strike="noStrike">
              <a:solidFill>
                <a:srgbClr val="FF9900"/>
              </a:solidFill>
              <a:latin typeface="Aptos Black" panose="020B0004020202020204" pitchFamily="34" charset="0"/>
              <a:ea typeface="+mn-ea"/>
              <a:cs typeface="+mn-cs"/>
            </a:rPr>
            <a:pPr marL="0" indent="0"/>
            <a:t>R$ 9.848,55</a:t>
          </a:fld>
          <a:endParaRPr lang="pt-BR" sz="3000" b="0" i="0" u="none" strike="noStrike">
            <a:solidFill>
              <a:srgbClr val="FF9900"/>
            </a:solidFill>
            <a:latin typeface="Aptos Black" panose="020B0004020202020204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16</xdr:col>
      <xdr:colOff>609600</xdr:colOff>
      <xdr:row>2</xdr:row>
      <xdr:rowOff>63500</xdr:rowOff>
    </xdr:from>
    <xdr:to>
      <xdr:col>18</xdr:col>
      <xdr:colOff>50800</xdr:colOff>
      <xdr:row>6</xdr:row>
      <xdr:rowOff>139700</xdr:rowOff>
    </xdr:to>
    <xdr:pic>
      <xdr:nvPicPr>
        <xdr:cNvPr id="38" name="Gráfico 37" descr="Sinal de polegar para cima estrutura de tópicos">
          <a:extLst>
            <a:ext uri="{FF2B5EF4-FFF2-40B4-BE49-F238E27FC236}">
              <a16:creationId xmlns:a16="http://schemas.microsoft.com/office/drawing/2014/main" id="{8D692A68-4F93-13DF-91E9-D056F8AAD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0852150" y="9652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609600</xdr:colOff>
      <xdr:row>2</xdr:row>
      <xdr:rowOff>76200</xdr:rowOff>
    </xdr:from>
    <xdr:to>
      <xdr:col>22</xdr:col>
      <xdr:colOff>628650</xdr:colOff>
      <xdr:row>6</xdr:row>
      <xdr:rowOff>44450</xdr:rowOff>
    </xdr:to>
    <xdr:pic>
      <xdr:nvPicPr>
        <xdr:cNvPr id="40" name="Gráfico 39" descr="Aviso com preenchimento sólido">
          <a:extLst>
            <a:ext uri="{FF2B5EF4-FFF2-40B4-BE49-F238E27FC236}">
              <a16:creationId xmlns:a16="http://schemas.microsoft.com/office/drawing/2014/main" id="{F2B394DE-BA1D-6B63-D671-9FA6F502B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160500" y="977900"/>
          <a:ext cx="679450" cy="654050"/>
        </a:xfrm>
        <a:prstGeom prst="rect">
          <a:avLst/>
        </a:prstGeom>
      </xdr:spPr>
    </xdr:pic>
    <xdr:clientData/>
  </xdr:twoCellAnchor>
  <xdr:twoCellAnchor>
    <xdr:from>
      <xdr:col>26</xdr:col>
      <xdr:colOff>336550</xdr:colOff>
      <xdr:row>2</xdr:row>
      <xdr:rowOff>0</xdr:rowOff>
    </xdr:from>
    <xdr:to>
      <xdr:col>27</xdr:col>
      <xdr:colOff>495300</xdr:colOff>
      <xdr:row>6</xdr:row>
      <xdr:rowOff>133350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C8384E80-2C33-0EFB-5691-41895BF07AB8}"/>
            </a:ext>
          </a:extLst>
        </xdr:cNvPr>
        <xdr:cNvGrpSpPr/>
      </xdr:nvGrpSpPr>
      <xdr:grpSpPr>
        <a:xfrm>
          <a:off x="17110075" y="942975"/>
          <a:ext cx="815975" cy="971550"/>
          <a:chOff x="17189450" y="901700"/>
          <a:chExt cx="819150" cy="819150"/>
        </a:xfrm>
      </xdr:grpSpPr>
      <xdr:pic>
        <xdr:nvPicPr>
          <xdr:cNvPr id="45" name="Gráfico 44" descr="Carteira estrutura de tópicos">
            <a:extLst>
              <a:ext uri="{FF2B5EF4-FFF2-40B4-BE49-F238E27FC236}">
                <a16:creationId xmlns:a16="http://schemas.microsoft.com/office/drawing/2014/main" id="{9B0498A3-D433-8A67-5992-A822203CAA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7189450" y="901700"/>
            <a:ext cx="819150" cy="819150"/>
          </a:xfrm>
          <a:prstGeom prst="rect">
            <a:avLst/>
          </a:prstGeom>
        </xdr:spPr>
      </xdr:pic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E8A4F9B4-DE51-677C-634C-67C681284F16}"/>
              </a:ext>
            </a:extLst>
          </xdr:cNvPr>
          <xdr:cNvSpPr/>
        </xdr:nvSpPr>
        <xdr:spPr>
          <a:xfrm>
            <a:off x="17348139" y="1021544"/>
            <a:ext cx="406522" cy="56400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000" b="1" cap="none" spc="5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$</a:t>
            </a:r>
          </a:p>
        </xdr:txBody>
      </xdr:sp>
    </xdr:grpSp>
    <xdr:clientData/>
  </xdr:twoCellAnchor>
  <xdr:twoCellAnchor editAs="oneCell">
    <xdr:from>
      <xdr:col>16</xdr:col>
      <xdr:colOff>323850</xdr:colOff>
      <xdr:row>44</xdr:row>
      <xdr:rowOff>107950</xdr:rowOff>
    </xdr:from>
    <xdr:to>
      <xdr:col>17</xdr:col>
      <xdr:colOff>577850</xdr:colOff>
      <xdr:row>49</xdr:row>
      <xdr:rowOff>165100</xdr:rowOff>
    </xdr:to>
    <xdr:pic macro="[0]!Atualiza_BD.Atualiza_vrCartao">
      <xdr:nvPicPr>
        <xdr:cNvPr id="55" name="Gráfico 54" descr="Cartão de crédito com preenchimento sólido">
          <a:extLst>
            <a:ext uri="{FF2B5EF4-FFF2-40B4-BE49-F238E27FC236}">
              <a16:creationId xmlns:a16="http://schemas.microsoft.com/office/drawing/2014/main" id="{F3FA99C1-D736-19E4-B6EA-E33D2B1CF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0566400" y="82105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22</xdr:col>
      <xdr:colOff>273050</xdr:colOff>
      <xdr:row>45</xdr:row>
      <xdr:rowOff>19050</xdr:rowOff>
    </xdr:from>
    <xdr:to>
      <xdr:col>23</xdr:col>
      <xdr:colOff>527050</xdr:colOff>
      <xdr:row>50</xdr:row>
      <xdr:rowOff>76200</xdr:rowOff>
    </xdr:to>
    <xdr:pic>
      <xdr:nvPicPr>
        <xdr:cNvPr id="57" name="Gráfico 56" descr="Empréstimo com preenchimento sólido">
          <a:extLst>
            <a:ext uri="{FF2B5EF4-FFF2-40B4-BE49-F238E27FC236}">
              <a16:creationId xmlns:a16="http://schemas.microsoft.com/office/drawing/2014/main" id="{160BE2A2-75BD-77D4-E132-E909AD493F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4484350" y="8293100"/>
          <a:ext cx="914400" cy="914400"/>
        </a:xfrm>
        <a:prstGeom prst="rect">
          <a:avLst/>
        </a:prstGeom>
      </xdr:spPr>
    </xdr:pic>
    <xdr:clientData/>
  </xdr:twoCellAnchor>
  <xdr:twoCellAnchor>
    <xdr:from>
      <xdr:col>24</xdr:col>
      <xdr:colOff>79188</xdr:colOff>
      <xdr:row>45</xdr:row>
      <xdr:rowOff>32871</xdr:rowOff>
    </xdr:from>
    <xdr:to>
      <xdr:col>34</xdr:col>
      <xdr:colOff>141941</xdr:colOff>
      <xdr:row>59</xdr:row>
      <xdr:rowOff>70971</xdr:rowOff>
    </xdr:to>
    <xdr:sp macro="" textlink="">
      <xdr:nvSpPr>
        <xdr:cNvPr id="60" name="Retângulo: Cantos Arredondados 59">
          <a:extLst>
            <a:ext uri="{FF2B5EF4-FFF2-40B4-BE49-F238E27FC236}">
              <a16:creationId xmlns:a16="http://schemas.microsoft.com/office/drawing/2014/main" id="{33267984-C1F5-C101-8C8F-416E96F72122}"/>
            </a:ext>
          </a:extLst>
        </xdr:cNvPr>
        <xdr:cNvSpPr/>
      </xdr:nvSpPr>
      <xdr:spPr>
        <a:xfrm>
          <a:off x="15543306" y="8325224"/>
          <a:ext cx="6636870" cy="2443629"/>
        </a:xfrm>
        <a:prstGeom prst="roundRect">
          <a:avLst>
            <a:gd name="adj" fmla="val 5421"/>
          </a:avLst>
        </a:prstGeom>
        <a:solidFill>
          <a:srgbClr val="19103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>
              <a:solidFill>
                <a:srgbClr val="FFC000"/>
              </a:solidFill>
              <a:latin typeface="+mj-lt"/>
            </a:rPr>
            <a:t>Emprestimo Evolução</a:t>
          </a:r>
        </a:p>
      </xdr:txBody>
    </xdr:sp>
    <xdr:clientData/>
  </xdr:twoCellAnchor>
  <xdr:twoCellAnchor>
    <xdr:from>
      <xdr:col>18</xdr:col>
      <xdr:colOff>302185</xdr:colOff>
      <xdr:row>50</xdr:row>
      <xdr:rowOff>101227</xdr:rowOff>
    </xdr:from>
    <xdr:to>
      <xdr:col>22</xdr:col>
      <xdr:colOff>321235</xdr:colOff>
      <xdr:row>53</xdr:row>
      <xdr:rowOff>82177</xdr:rowOff>
    </xdr:to>
    <xdr:sp macro="" textlink="EMPRESTIMOS!C9">
      <xdr:nvSpPr>
        <xdr:cNvPr id="61" name="CaixaDeTexto_Funcef">
          <a:extLst>
            <a:ext uri="{FF2B5EF4-FFF2-40B4-BE49-F238E27FC236}">
              <a16:creationId xmlns:a16="http://schemas.microsoft.com/office/drawing/2014/main" id="{EDB744E8-23E6-0638-BCC6-F87264434463}"/>
            </a:ext>
          </a:extLst>
        </xdr:cNvPr>
        <xdr:cNvSpPr txBox="1"/>
      </xdr:nvSpPr>
      <xdr:spPr>
        <a:xfrm>
          <a:off x="11814361" y="9252698"/>
          <a:ext cx="2656168" cy="496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534BF742-D653-4A64-B53E-9B1DDD81AB66}" type="TxLink">
            <a:rPr lang="en-US" sz="3000" b="0" i="0" u="none" strike="noStrike">
              <a:solidFill>
                <a:srgbClr val="FF9900"/>
              </a:solidFill>
              <a:latin typeface="Aptos Black" panose="020B0004020202020204" pitchFamily="34" charset="0"/>
              <a:ea typeface="+mn-ea"/>
              <a:cs typeface="+mn-cs"/>
            </a:rPr>
            <a:pPr marL="0" indent="0"/>
            <a:t>R$29.989,00 </a:t>
          </a:fld>
          <a:endParaRPr lang="pt-BR" sz="3000" b="1" i="0" u="none" strike="noStrike">
            <a:solidFill>
              <a:srgbClr val="FF9900"/>
            </a:solidFill>
            <a:latin typeface="Aptos Black" panose="020B0004020202020204" pitchFamily="34" charset="0"/>
            <a:ea typeface="+mn-ea"/>
            <a:cs typeface="+mn-cs"/>
          </a:endParaRPr>
        </a:p>
      </xdr:txBody>
    </xdr:sp>
    <xdr:clientData/>
  </xdr:twoCellAnchor>
  <xdr:oneCellAnchor>
    <xdr:from>
      <xdr:col>18</xdr:col>
      <xdr:colOff>216647</xdr:colOff>
      <xdr:row>49</xdr:row>
      <xdr:rowOff>7470</xdr:rowOff>
    </xdr:from>
    <xdr:ext cx="1235659" cy="265265"/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BA8F01C6-E7EB-9C44-B495-500D5580C850}"/>
            </a:ext>
          </a:extLst>
        </xdr:cNvPr>
        <xdr:cNvSpPr txBox="1"/>
      </xdr:nvSpPr>
      <xdr:spPr>
        <a:xfrm>
          <a:off x="11722847" y="10799295"/>
          <a:ext cx="1235659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/>
              </a:solidFill>
            </a:rPr>
            <a:t>Financ. Veículo</a:t>
          </a:r>
        </a:p>
      </xdr:txBody>
    </xdr:sp>
    <xdr:clientData/>
  </xdr:oneCellAnchor>
  <xdr:twoCellAnchor>
    <xdr:from>
      <xdr:col>18</xdr:col>
      <xdr:colOff>324596</xdr:colOff>
      <xdr:row>55</xdr:row>
      <xdr:rowOff>48933</xdr:rowOff>
    </xdr:from>
    <xdr:to>
      <xdr:col>22</xdr:col>
      <xdr:colOff>343646</xdr:colOff>
      <xdr:row>58</xdr:row>
      <xdr:rowOff>29882</xdr:rowOff>
    </xdr:to>
    <xdr:sp macro="" textlink="EMPRESTIMOS!D9">
      <xdr:nvSpPr>
        <xdr:cNvPr id="63" name="CaixaDeTexto _Consignado">
          <a:extLst>
            <a:ext uri="{FF2B5EF4-FFF2-40B4-BE49-F238E27FC236}">
              <a16:creationId xmlns:a16="http://schemas.microsoft.com/office/drawing/2014/main" id="{0467C0F5-27B5-8A39-B3CB-1BB4035B0665}"/>
            </a:ext>
          </a:extLst>
        </xdr:cNvPr>
        <xdr:cNvSpPr txBox="1"/>
      </xdr:nvSpPr>
      <xdr:spPr>
        <a:xfrm>
          <a:off x="11836772" y="10059521"/>
          <a:ext cx="2656168" cy="496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2F5292AB-28EA-457A-8970-67E1724BAC15}" type="TxLink">
            <a:rPr lang="en-US" sz="3000" b="0" i="0" u="none" strike="noStrike">
              <a:solidFill>
                <a:srgbClr val="FF9900"/>
              </a:solidFill>
              <a:latin typeface="Aptos Black" panose="020B0004020202020204" pitchFamily="34" charset="0"/>
              <a:ea typeface="+mn-ea"/>
              <a:cs typeface="+mn-cs"/>
            </a:rPr>
            <a:pPr marL="0" indent="0"/>
            <a:t>R$23.560,00 </a:t>
          </a:fld>
          <a:endParaRPr lang="pt-BR" sz="3000" b="1" i="0" u="none" strike="noStrike">
            <a:solidFill>
              <a:srgbClr val="FF9900"/>
            </a:solidFill>
            <a:latin typeface="Aptos Black" panose="020B0004020202020204" pitchFamily="34" charset="0"/>
            <a:ea typeface="+mn-ea"/>
            <a:cs typeface="+mn-cs"/>
          </a:endParaRPr>
        </a:p>
      </xdr:txBody>
    </xdr:sp>
    <xdr:clientData/>
  </xdr:twoCellAnchor>
  <xdr:oneCellAnchor>
    <xdr:from>
      <xdr:col>18</xdr:col>
      <xdr:colOff>239058</xdr:colOff>
      <xdr:row>53</xdr:row>
      <xdr:rowOff>126999</xdr:rowOff>
    </xdr:from>
    <xdr:ext cx="1027141" cy="265265"/>
    <xdr:sp macro="" textlink="">
      <xdr:nvSpPr>
        <xdr:cNvPr id="1024" name="CaixaDeTexto 1023">
          <a:extLst>
            <a:ext uri="{FF2B5EF4-FFF2-40B4-BE49-F238E27FC236}">
              <a16:creationId xmlns:a16="http://schemas.microsoft.com/office/drawing/2014/main" id="{6597078E-A4A0-39B6-7A7C-593A204C6807}"/>
            </a:ext>
          </a:extLst>
        </xdr:cNvPr>
        <xdr:cNvSpPr txBox="1"/>
      </xdr:nvSpPr>
      <xdr:spPr>
        <a:xfrm>
          <a:off x="11751234" y="9793940"/>
          <a:ext cx="1027141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/>
              </a:solidFill>
            </a:rPr>
            <a:t>Consignado</a:t>
          </a:r>
        </a:p>
      </xdr:txBody>
    </xdr:sp>
    <xdr:clientData/>
  </xdr:oneCellAnchor>
  <xdr:twoCellAnchor>
    <xdr:from>
      <xdr:col>24</xdr:col>
      <xdr:colOff>216645</xdr:colOff>
      <xdr:row>47</xdr:row>
      <xdr:rowOff>74706</xdr:rowOff>
    </xdr:from>
    <xdr:to>
      <xdr:col>33</xdr:col>
      <xdr:colOff>657410</xdr:colOff>
      <xdr:row>58</xdr:row>
      <xdr:rowOff>106083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EBA11F54-B5CF-4D36-8683-1B0E61E0A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33</xdr:col>
      <xdr:colOff>80387</xdr:colOff>
      <xdr:row>1</xdr:row>
      <xdr:rowOff>150933</xdr:rowOff>
    </xdr:from>
    <xdr:to>
      <xdr:col>34</xdr:col>
      <xdr:colOff>0</xdr:colOff>
      <xdr:row>1</xdr:row>
      <xdr:rowOff>691016</xdr:rowOff>
    </xdr:to>
    <xdr:grpSp>
      <xdr:nvGrpSpPr>
        <xdr:cNvPr id="1033" name="Agrupar 1032">
          <a:extLst>
            <a:ext uri="{FF2B5EF4-FFF2-40B4-BE49-F238E27FC236}">
              <a16:creationId xmlns:a16="http://schemas.microsoft.com/office/drawing/2014/main" id="{B879ECCC-849D-8DD1-4F7B-9B0242967AAC}"/>
            </a:ext>
          </a:extLst>
        </xdr:cNvPr>
        <xdr:cNvGrpSpPr/>
      </xdr:nvGrpSpPr>
      <xdr:grpSpPr>
        <a:xfrm>
          <a:off x="21454487" y="360483"/>
          <a:ext cx="576838" cy="540083"/>
          <a:chOff x="21557901" y="321476"/>
          <a:chExt cx="580013" cy="540083"/>
        </a:xfrm>
      </xdr:grpSpPr>
      <xdr:sp macro="[0]!TelaCheia" textlink="">
        <xdr:nvSpPr>
          <xdr:cNvPr id="1028" name="Retângulo: Cantos Arredondados 1027">
            <a:extLst>
              <a:ext uri="{FF2B5EF4-FFF2-40B4-BE49-F238E27FC236}">
                <a16:creationId xmlns:a16="http://schemas.microsoft.com/office/drawing/2014/main" id="{F02873D4-B825-17DF-1C94-CC054F1BDED3}"/>
              </a:ext>
            </a:extLst>
          </xdr:cNvPr>
          <xdr:cNvSpPr/>
        </xdr:nvSpPr>
        <xdr:spPr>
          <a:xfrm>
            <a:off x="21557901" y="321476"/>
            <a:ext cx="580013" cy="540083"/>
          </a:xfrm>
          <a:prstGeom prst="roundRect">
            <a:avLst/>
          </a:prstGeom>
          <a:solidFill>
            <a:srgbClr val="C00000"/>
          </a:solidFill>
          <a:ln>
            <a:noFill/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pic macro="[0]!TelaCheia">
        <xdr:nvPicPr>
          <xdr:cNvPr id="1029" name="Gráfico 1028" descr="Maximizar com preenchimento sólido">
            <a:extLst>
              <a:ext uri="{FF2B5EF4-FFF2-40B4-BE49-F238E27FC236}">
                <a16:creationId xmlns:a16="http://schemas.microsoft.com/office/drawing/2014/main" id="{8712E2A0-FD2D-9C56-E975-7DD4FEFDA6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21700832" y="441861"/>
            <a:ext cx="294150" cy="299313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165100" prst="coolSlant"/>
          </a:sp3d>
        </xdr:spPr>
      </xdr:pic>
    </xdr:grpSp>
    <xdr:clientData/>
  </xdr:twoCellAnchor>
  <xdr:twoCellAnchor>
    <xdr:from>
      <xdr:col>32</xdr:col>
      <xdr:colOff>94290</xdr:colOff>
      <xdr:row>1</xdr:row>
      <xdr:rowOff>135533</xdr:rowOff>
    </xdr:from>
    <xdr:to>
      <xdr:col>33</xdr:col>
      <xdr:colOff>21927</xdr:colOff>
      <xdr:row>1</xdr:row>
      <xdr:rowOff>691016</xdr:rowOff>
    </xdr:to>
    <xdr:grpSp>
      <xdr:nvGrpSpPr>
        <xdr:cNvPr id="1034" name="Agrupar 1033">
          <a:extLst>
            <a:ext uri="{FF2B5EF4-FFF2-40B4-BE49-F238E27FC236}">
              <a16:creationId xmlns:a16="http://schemas.microsoft.com/office/drawing/2014/main" id="{5460A5AF-F0FA-220D-6068-8A7DFBFC5AAD}"/>
            </a:ext>
          </a:extLst>
        </xdr:cNvPr>
        <xdr:cNvGrpSpPr/>
      </xdr:nvGrpSpPr>
      <xdr:grpSpPr>
        <a:xfrm>
          <a:off x="20811165" y="345083"/>
          <a:ext cx="584862" cy="555483"/>
          <a:chOff x="20911404" y="306076"/>
          <a:chExt cx="588037" cy="555483"/>
        </a:xfrm>
      </xdr:grpSpPr>
      <xdr:sp macro="[0]!VoltarNormal" textlink="">
        <xdr:nvSpPr>
          <xdr:cNvPr id="1031" name="Retângulo: Cantos Arredondados 1030">
            <a:extLst>
              <a:ext uri="{FF2B5EF4-FFF2-40B4-BE49-F238E27FC236}">
                <a16:creationId xmlns:a16="http://schemas.microsoft.com/office/drawing/2014/main" id="{3D29BDF8-4E21-4DC1-0482-C4D1B8471B51}"/>
              </a:ext>
            </a:extLst>
          </xdr:cNvPr>
          <xdr:cNvSpPr/>
        </xdr:nvSpPr>
        <xdr:spPr>
          <a:xfrm>
            <a:off x="20911404" y="306076"/>
            <a:ext cx="588037" cy="555483"/>
          </a:xfrm>
          <a:prstGeom prst="roundRect">
            <a:avLst/>
          </a:prstGeom>
          <a:solidFill>
            <a:srgbClr val="C00000"/>
          </a:solidFill>
          <a:ln>
            <a:noFill/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pic macro="[0]!VoltarNormal">
        <xdr:nvPicPr>
          <xdr:cNvPr id="1032" name="Gráfico 1031" descr="Minimizar com preenchimento sólido">
            <a:extLst>
              <a:ext uri="{FF2B5EF4-FFF2-40B4-BE49-F238E27FC236}">
                <a16:creationId xmlns:a16="http://schemas.microsoft.com/office/drawing/2014/main" id="{FCA3FE1F-614F-2D95-F7B9-33C913D4B0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21034953" y="407982"/>
            <a:ext cx="340939" cy="351671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165100" prst="coolSlant"/>
          </a:sp3d>
        </xdr:spPr>
      </xdr:pic>
    </xdr:grpSp>
    <xdr:clientData/>
  </xdr:twoCellAnchor>
  <xdr:twoCellAnchor>
    <xdr:from>
      <xdr:col>0</xdr:col>
      <xdr:colOff>0</xdr:colOff>
      <xdr:row>1</xdr:row>
      <xdr:rowOff>679450</xdr:rowOff>
    </xdr:from>
    <xdr:to>
      <xdr:col>33</xdr:col>
      <xdr:colOff>546100</xdr:colOff>
      <xdr:row>2</xdr:row>
      <xdr:rowOff>57150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CF77A574-5A50-472F-B08E-DF40B200A158}"/>
            </a:ext>
          </a:extLst>
        </xdr:cNvPr>
        <xdr:cNvSpPr/>
      </xdr:nvSpPr>
      <xdr:spPr>
        <a:xfrm>
          <a:off x="0" y="850900"/>
          <a:ext cx="22021800" cy="127000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31</xdr:col>
      <xdr:colOff>122537</xdr:colOff>
      <xdr:row>1</xdr:row>
      <xdr:rowOff>141883</xdr:rowOff>
    </xdr:from>
    <xdr:to>
      <xdr:col>32</xdr:col>
      <xdr:colOff>50174</xdr:colOff>
      <xdr:row>1</xdr:row>
      <xdr:rowOff>697366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14CCC716-5921-E3C4-CE79-A1D23822514E}"/>
            </a:ext>
          </a:extLst>
        </xdr:cNvPr>
        <xdr:cNvGrpSpPr/>
      </xdr:nvGrpSpPr>
      <xdr:grpSpPr>
        <a:xfrm>
          <a:off x="20182187" y="351433"/>
          <a:ext cx="584862" cy="555483"/>
          <a:chOff x="20302399" y="312676"/>
          <a:chExt cx="588913" cy="555483"/>
        </a:xfrm>
      </xdr:grpSpPr>
      <xdr:sp macro="[0]!AbrirCalculadora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430A1319-84D6-2BF5-1D56-B0CDBA3836CE}"/>
              </a:ext>
            </a:extLst>
          </xdr:cNvPr>
          <xdr:cNvSpPr/>
        </xdr:nvSpPr>
        <xdr:spPr>
          <a:xfrm>
            <a:off x="20302399" y="312676"/>
            <a:ext cx="588913" cy="555483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pic macro="[0]!AbrirCalculadora">
        <xdr:nvPicPr>
          <xdr:cNvPr id="44" name="Gráfico 43" descr="Calculadora estrutura de tópicos">
            <a:extLst>
              <a:ext uri="{FF2B5EF4-FFF2-40B4-BE49-F238E27FC236}">
                <a16:creationId xmlns:a16="http://schemas.microsoft.com/office/drawing/2014/main" id="{1FBE0F71-64E0-CC9C-18DC-42FD1D6211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20332262" y="316843"/>
            <a:ext cx="508876" cy="508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12</xdr:col>
      <xdr:colOff>374650</xdr:colOff>
      <xdr:row>49</xdr:row>
      <xdr:rowOff>114300</xdr:rowOff>
    </xdr:from>
    <xdr:to>
      <xdr:col>17</xdr:col>
      <xdr:colOff>527050</xdr:colOff>
      <xdr:row>59</xdr:row>
      <xdr:rowOff>44450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F8AAA8BA-8606-41AB-82F6-53EE0D6154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597647</xdr:colOff>
      <xdr:row>45</xdr:row>
      <xdr:rowOff>82177</xdr:rowOff>
    </xdr:from>
    <xdr:to>
      <xdr:col>12</xdr:col>
      <xdr:colOff>141941</xdr:colOff>
      <xdr:row>50</xdr:row>
      <xdr:rowOff>7470</xdr:rowOff>
    </xdr:to>
    <xdr:sp macro="[0]!AtualizaTudo" textlink="">
      <xdr:nvSpPr>
        <xdr:cNvPr id="36" name="Retângulo 35">
          <a:extLst>
            <a:ext uri="{FF2B5EF4-FFF2-40B4-BE49-F238E27FC236}">
              <a16:creationId xmlns:a16="http://schemas.microsoft.com/office/drawing/2014/main" id="{5645FE1C-14F0-F2AF-9AE8-2E032587DB9B}"/>
            </a:ext>
          </a:extLst>
        </xdr:cNvPr>
        <xdr:cNvSpPr/>
      </xdr:nvSpPr>
      <xdr:spPr>
        <a:xfrm>
          <a:off x="6850529" y="8389471"/>
          <a:ext cx="859118" cy="784411"/>
        </a:xfrm>
        <a:prstGeom prst="rect">
          <a:avLst/>
        </a:prstGeom>
        <a:solidFill>
          <a:srgbClr val="12083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10</xdr:col>
      <xdr:colOff>627529</xdr:colOff>
      <xdr:row>45</xdr:row>
      <xdr:rowOff>59766</xdr:rowOff>
    </xdr:from>
    <xdr:to>
      <xdr:col>12</xdr:col>
      <xdr:colOff>103467</xdr:colOff>
      <xdr:row>49</xdr:row>
      <xdr:rowOff>167716</xdr:rowOff>
    </xdr:to>
    <xdr:pic macro="[0]!AtualizaTudo">
      <xdr:nvPicPr>
        <xdr:cNvPr id="39" name="Gráfico 58" descr="Gráfico de barras com tendência ascendente com preenchimento sólido">
          <a:extLst>
            <a:ext uri="{FF2B5EF4-FFF2-40B4-BE49-F238E27FC236}">
              <a16:creationId xmlns:a16="http://schemas.microsoft.com/office/drawing/2014/main" id="{5E7225D9-1302-5EA5-9EB1-21478FA4F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6880411" y="8367060"/>
          <a:ext cx="790762" cy="795244"/>
        </a:xfrm>
        <a:prstGeom prst="rect">
          <a:avLst/>
        </a:prstGeom>
      </xdr:spPr>
    </xdr:pic>
    <xdr:clientData/>
  </xdr:twoCellAnchor>
  <xdr:twoCellAnchor>
    <xdr:from>
      <xdr:col>24</xdr:col>
      <xdr:colOff>171823</xdr:colOff>
      <xdr:row>13</xdr:row>
      <xdr:rowOff>44823</xdr:rowOff>
    </xdr:from>
    <xdr:to>
      <xdr:col>27</xdr:col>
      <xdr:colOff>410882</xdr:colOff>
      <xdr:row>39</xdr:row>
      <xdr:rowOff>112058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8EB0D823-64A0-4611-9E78-ABDD80AE04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154926</xdr:colOff>
      <xdr:row>2</xdr:row>
      <xdr:rowOff>90609</xdr:rowOff>
    </xdr:from>
    <xdr:to>
      <xdr:col>2</xdr:col>
      <xdr:colOff>327598</xdr:colOff>
      <xdr:row>7</xdr:row>
      <xdr:rowOff>188429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Status Pgto 1">
              <a:extLst>
                <a:ext uri="{FF2B5EF4-FFF2-40B4-BE49-F238E27FC236}">
                  <a16:creationId xmlns:a16="http://schemas.microsoft.com/office/drawing/2014/main" id="{A5684C76-8B68-F2BE-5B99-05D1182EC3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Pg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926" y="1525221"/>
              <a:ext cx="1896941" cy="949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436059</xdr:colOff>
      <xdr:row>4</xdr:row>
      <xdr:rowOff>34659</xdr:rowOff>
    </xdr:from>
    <xdr:to>
      <xdr:col>10</xdr:col>
      <xdr:colOff>2510875</xdr:colOff>
      <xdr:row>7</xdr:row>
      <xdr:rowOff>155522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MÊS REF 1">
              <a:extLst>
                <a:ext uri="{FF2B5EF4-FFF2-40B4-BE49-F238E27FC236}">
                  <a16:creationId xmlns:a16="http://schemas.microsoft.com/office/drawing/2014/main" id="{F8687B34-CE73-87BC-F6E3-B27F3BEBAA2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REF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55157" y="1817906"/>
              <a:ext cx="12795368" cy="6365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66675</xdr:rowOff>
        </xdr:from>
        <xdr:to>
          <xdr:col>2</xdr:col>
          <xdr:colOff>228600</xdr:colOff>
          <xdr:row>1</xdr:row>
          <xdr:rowOff>438150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Aptos Narrow"/>
                </a:rPr>
                <a:t>ATUALIZAR BD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3171665</xdr:colOff>
      <xdr:row>0</xdr:row>
      <xdr:rowOff>152180</xdr:rowOff>
    </xdr:from>
    <xdr:to>
      <xdr:col>11</xdr:col>
      <xdr:colOff>0</xdr:colOff>
      <xdr:row>0</xdr:row>
      <xdr:rowOff>690073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792DE39-9C66-DA7C-2AAB-FA76ECE39453}"/>
            </a:ext>
          </a:extLst>
        </xdr:cNvPr>
        <xdr:cNvGrpSpPr/>
      </xdr:nvGrpSpPr>
      <xdr:grpSpPr>
        <a:xfrm>
          <a:off x="15598127" y="152180"/>
          <a:ext cx="572392" cy="537893"/>
          <a:chOff x="15619933" y="444802"/>
          <a:chExt cx="574835" cy="537893"/>
        </a:xfrm>
      </xdr:grpSpPr>
      <xdr:sp macro="[0]!TelaCheia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8F8FD57C-BF20-7F1B-F266-F279C6F66EBE}"/>
              </a:ext>
            </a:extLst>
          </xdr:cNvPr>
          <xdr:cNvSpPr/>
        </xdr:nvSpPr>
        <xdr:spPr>
          <a:xfrm>
            <a:off x="15619933" y="444802"/>
            <a:ext cx="574835" cy="537893"/>
          </a:xfrm>
          <a:prstGeom prst="roundRect">
            <a:avLst/>
          </a:prstGeom>
          <a:solidFill>
            <a:srgbClr val="002060"/>
          </a:solidFill>
          <a:ln>
            <a:noFill/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pic macro="[0]!TelaCheia">
        <xdr:nvPicPr>
          <xdr:cNvPr id="14" name="Gráfico 13" descr="Maximizar com preenchimento sólido">
            <a:extLst>
              <a:ext uri="{FF2B5EF4-FFF2-40B4-BE49-F238E27FC236}">
                <a16:creationId xmlns:a16="http://schemas.microsoft.com/office/drawing/2014/main" id="{122470CB-1A25-2BD6-1CEB-A99885CFE1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5761588" y="564699"/>
            <a:ext cx="291524" cy="298099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165100" prst="coolSlant"/>
          </a:sp3d>
        </xdr:spPr>
      </xdr:pic>
    </xdr:grpSp>
    <xdr:clientData/>
  </xdr:twoCellAnchor>
  <xdr:twoCellAnchor>
    <xdr:from>
      <xdr:col>10</xdr:col>
      <xdr:colOff>2528156</xdr:colOff>
      <xdr:row>0</xdr:row>
      <xdr:rowOff>136780</xdr:rowOff>
    </xdr:from>
    <xdr:to>
      <xdr:col>10</xdr:col>
      <xdr:colOff>3113205</xdr:colOff>
      <xdr:row>0</xdr:row>
      <xdr:rowOff>690073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B0031F18-53CB-55E9-C757-2C8BD372AD0E}"/>
            </a:ext>
          </a:extLst>
        </xdr:cNvPr>
        <xdr:cNvGrpSpPr/>
      </xdr:nvGrpSpPr>
      <xdr:grpSpPr>
        <a:xfrm>
          <a:off x="14954618" y="136780"/>
          <a:ext cx="585049" cy="553293"/>
          <a:chOff x="14976424" y="429402"/>
          <a:chExt cx="585049" cy="553293"/>
        </a:xfrm>
      </xdr:grpSpPr>
      <xdr:sp macro="[0]!VoltarNormal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B4324D5A-4F09-59FC-ED26-6CAF6F474EC8}"/>
              </a:ext>
            </a:extLst>
          </xdr:cNvPr>
          <xdr:cNvSpPr/>
        </xdr:nvSpPr>
        <xdr:spPr>
          <a:xfrm>
            <a:off x="14976424" y="429402"/>
            <a:ext cx="585049" cy="553293"/>
          </a:xfrm>
          <a:prstGeom prst="roundRect">
            <a:avLst/>
          </a:prstGeom>
          <a:solidFill>
            <a:srgbClr val="002060"/>
          </a:solidFill>
          <a:ln>
            <a:noFill/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pic macro="[0]!VoltarNormal">
        <xdr:nvPicPr>
          <xdr:cNvPr id="17" name="Gráfico 16" descr="Minimizar com preenchimento sólido">
            <a:extLst>
              <a:ext uri="{FF2B5EF4-FFF2-40B4-BE49-F238E27FC236}">
                <a16:creationId xmlns:a16="http://schemas.microsoft.com/office/drawing/2014/main" id="{564522CA-2714-48B4-5B3F-F5C9553450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5099345" y="530906"/>
            <a:ext cx="339207" cy="350285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165100" prst="coolSlant"/>
          </a:sp3d>
        </xdr:spPr>
      </xdr:pic>
    </xdr:grpSp>
    <xdr:clientData/>
  </xdr:twoCellAnchor>
  <xdr:twoCellAnchor>
    <xdr:from>
      <xdr:col>4</xdr:col>
      <xdr:colOff>1937603</xdr:colOff>
      <xdr:row>0</xdr:row>
      <xdr:rowOff>152181</xdr:rowOff>
    </xdr:from>
    <xdr:to>
      <xdr:col>5</xdr:col>
      <xdr:colOff>157376</xdr:colOff>
      <xdr:row>0</xdr:row>
      <xdr:rowOff>657858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D42DFA78-1B2F-4146-9C0B-BDD194815666}"/>
            </a:ext>
          </a:extLst>
        </xdr:cNvPr>
        <xdr:cNvGrpSpPr/>
      </xdr:nvGrpSpPr>
      <xdr:grpSpPr>
        <a:xfrm>
          <a:off x="5322641" y="152181"/>
          <a:ext cx="1582831" cy="505677"/>
          <a:chOff x="7251700" y="298450"/>
          <a:chExt cx="1898650" cy="615950"/>
        </a:xfrm>
      </xdr:grpSpPr>
      <xdr:sp macro="[0]!Ir_Dashboard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106563CD-E1AB-29F2-D652-D7076CB817E8}"/>
              </a:ext>
            </a:extLst>
          </xdr:cNvPr>
          <xdr:cNvSpPr/>
        </xdr:nvSpPr>
        <xdr:spPr>
          <a:xfrm>
            <a:off x="7251700" y="298450"/>
            <a:ext cx="1898650" cy="615950"/>
          </a:xfrm>
          <a:prstGeom prst="round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sp macro="[0]!Ir_Dashboard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6A0FA7F1-3043-1CE3-17FF-F131CC451997}"/>
              </a:ext>
            </a:extLst>
          </xdr:cNvPr>
          <xdr:cNvSpPr/>
        </xdr:nvSpPr>
        <xdr:spPr>
          <a:xfrm>
            <a:off x="7404401" y="367494"/>
            <a:ext cx="1612301" cy="406843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/>
          </a:sp3d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1" cap="none" spc="5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Dashboard</a:t>
            </a:r>
          </a:p>
        </xdr:txBody>
      </xdr:sp>
    </xdr:grpSp>
    <xdr:clientData/>
  </xdr:twoCellAnchor>
  <xdr:twoCellAnchor>
    <xdr:from>
      <xdr:col>5</xdr:col>
      <xdr:colOff>259400</xdr:colOff>
      <xdr:row>0</xdr:row>
      <xdr:rowOff>152181</xdr:rowOff>
    </xdr:from>
    <xdr:to>
      <xdr:col>7</xdr:col>
      <xdr:colOff>112355</xdr:colOff>
      <xdr:row>0</xdr:row>
      <xdr:rowOff>690073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4CD67A5D-2BCF-4B5F-9CEE-D6AE07DA1FB3}"/>
            </a:ext>
          </a:extLst>
        </xdr:cNvPr>
        <xdr:cNvGrpSpPr/>
      </xdr:nvGrpSpPr>
      <xdr:grpSpPr>
        <a:xfrm>
          <a:off x="7007496" y="152181"/>
          <a:ext cx="1853205" cy="537892"/>
          <a:chOff x="9248172" y="260350"/>
          <a:chExt cx="1937967" cy="615950"/>
        </a:xfrm>
      </xdr:grpSpPr>
      <xdr:sp macro="[0]!Ir_Lancamentos" textlink="">
        <xdr:nvSpPr>
          <xdr:cNvPr id="21" name="Retângulo: Cantos Arredondados 20">
            <a:extLst>
              <a:ext uri="{FF2B5EF4-FFF2-40B4-BE49-F238E27FC236}">
                <a16:creationId xmlns:a16="http://schemas.microsoft.com/office/drawing/2014/main" id="{7F8C9589-D6AE-D3E9-6D35-928CFB7FAA98}"/>
              </a:ext>
            </a:extLst>
          </xdr:cNvPr>
          <xdr:cNvSpPr/>
        </xdr:nvSpPr>
        <xdr:spPr>
          <a:xfrm>
            <a:off x="9258300" y="260350"/>
            <a:ext cx="1898650" cy="615950"/>
          </a:xfrm>
          <a:prstGeom prst="roundRect">
            <a:avLst/>
          </a:prstGeom>
          <a:solidFill>
            <a:srgbClr val="002060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sp macro="[0]!Ir_Lancamentos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9D608E1E-98FA-42A8-B327-EC5552241E72}"/>
              </a:ext>
            </a:extLst>
          </xdr:cNvPr>
          <xdr:cNvSpPr/>
        </xdr:nvSpPr>
        <xdr:spPr>
          <a:xfrm>
            <a:off x="9248172" y="329394"/>
            <a:ext cx="1937967" cy="406843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/>
          </a:sp3d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1" cap="none" spc="5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Lançamentos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589152</xdr:rowOff>
    </xdr:from>
    <xdr:to>
      <xdr:col>11</xdr:col>
      <xdr:colOff>0</xdr:colOff>
      <xdr:row>0</xdr:row>
      <xdr:rowOff>726252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11BFEBB4-3919-43F8-81A7-3884B119FCA0}"/>
            </a:ext>
          </a:extLst>
        </xdr:cNvPr>
        <xdr:cNvSpPr/>
      </xdr:nvSpPr>
      <xdr:spPr>
        <a:xfrm>
          <a:off x="0" y="589152"/>
          <a:ext cx="16192500" cy="13710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1841500</xdr:colOff>
      <xdr:row>0</xdr:row>
      <xdr:rowOff>122116</xdr:rowOff>
    </xdr:from>
    <xdr:to>
      <xdr:col>10</xdr:col>
      <xdr:colOff>2429537</xdr:colOff>
      <xdr:row>0</xdr:row>
      <xdr:rowOff>677599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289C3829-A841-4AFC-9E19-655F0E2AC405}"/>
            </a:ext>
          </a:extLst>
        </xdr:cNvPr>
        <xdr:cNvGrpSpPr/>
      </xdr:nvGrpSpPr>
      <xdr:grpSpPr>
        <a:xfrm>
          <a:off x="14267962" y="122116"/>
          <a:ext cx="588037" cy="555483"/>
          <a:chOff x="20302399" y="312676"/>
          <a:chExt cx="588913" cy="555483"/>
        </a:xfrm>
      </xdr:grpSpPr>
      <xdr:sp macro="[0]!AbrirCalculadora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84A3F2CB-1D37-9B71-7742-5C8B04D1D5FB}"/>
              </a:ext>
            </a:extLst>
          </xdr:cNvPr>
          <xdr:cNvSpPr/>
        </xdr:nvSpPr>
        <xdr:spPr>
          <a:xfrm>
            <a:off x="20302399" y="312676"/>
            <a:ext cx="588913" cy="555483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pic macro="[0]!AbrirCalculadora">
        <xdr:nvPicPr>
          <xdr:cNvPr id="6" name="Gráfico 5" descr="Calculadora estrutura de tópicos">
            <a:extLst>
              <a:ext uri="{FF2B5EF4-FFF2-40B4-BE49-F238E27FC236}">
                <a16:creationId xmlns:a16="http://schemas.microsoft.com/office/drawing/2014/main" id="{FC105802-B5AE-7AB7-653F-DEE9EC1054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332262" y="316843"/>
            <a:ext cx="508876" cy="508000"/>
          </a:xfrm>
          <a:prstGeom prst="rect">
            <a:avLst/>
          </a:prstGeom>
          <a:effectLst/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</xdr:row>
          <xdr:rowOff>66675</xdr:rowOff>
        </xdr:from>
        <xdr:to>
          <xdr:col>2</xdr:col>
          <xdr:colOff>285750</xdr:colOff>
          <xdr:row>3</xdr:row>
          <xdr:rowOff>438150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Aptos Narrow"/>
                </a:rPr>
                <a:t>ATUALIZAR BD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8</xdr:row>
          <xdr:rowOff>0</xdr:rowOff>
        </xdr:from>
        <xdr:to>
          <xdr:col>5</xdr:col>
          <xdr:colOff>657225</xdr:colOff>
          <xdr:row>8</xdr:row>
          <xdr:rowOff>238125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entury Gothic"/>
                </a:rPr>
                <a:t>Migra Dash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3757209</xdr:colOff>
      <xdr:row>1</xdr:row>
      <xdr:rowOff>15400</xdr:rowOff>
    </xdr:from>
    <xdr:to>
      <xdr:col>9</xdr:col>
      <xdr:colOff>0</xdr:colOff>
      <xdr:row>3</xdr:row>
      <xdr:rowOff>84980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8857DED6-3139-4354-BD7B-CDE2EECBCF1C}"/>
            </a:ext>
          </a:extLst>
        </xdr:cNvPr>
        <xdr:cNvGrpSpPr/>
      </xdr:nvGrpSpPr>
      <xdr:grpSpPr>
        <a:xfrm>
          <a:off x="10496147" y="432119"/>
          <a:ext cx="576666" cy="575595"/>
          <a:chOff x="15619933" y="444802"/>
          <a:chExt cx="574835" cy="537893"/>
        </a:xfrm>
      </xdr:grpSpPr>
      <xdr:sp macro="[0]!TelaCheia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E7582A7C-9CDD-BA92-E417-E8042F8F578E}"/>
              </a:ext>
            </a:extLst>
          </xdr:cNvPr>
          <xdr:cNvSpPr/>
        </xdr:nvSpPr>
        <xdr:spPr>
          <a:xfrm>
            <a:off x="15619933" y="444802"/>
            <a:ext cx="574835" cy="537893"/>
          </a:xfrm>
          <a:prstGeom prst="roundRect">
            <a:avLst/>
          </a:prstGeom>
          <a:solidFill>
            <a:srgbClr val="002060"/>
          </a:solidFill>
          <a:ln>
            <a:noFill/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pic macro="[0]!TelaCheia">
        <xdr:nvPicPr>
          <xdr:cNvPr id="4" name="Gráfico 3" descr="Maximizar com preenchimento sólido">
            <a:extLst>
              <a:ext uri="{FF2B5EF4-FFF2-40B4-BE49-F238E27FC236}">
                <a16:creationId xmlns:a16="http://schemas.microsoft.com/office/drawing/2014/main" id="{8F62DDCB-CF1B-3C43-B81F-EDAC8E3F9D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5761588" y="564699"/>
            <a:ext cx="291524" cy="298099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165100" prst="coolSlant"/>
          </a:sp3d>
        </xdr:spPr>
      </xdr:pic>
    </xdr:grpSp>
    <xdr:clientData/>
  </xdr:twoCellAnchor>
  <xdr:twoCellAnchor>
    <xdr:from>
      <xdr:col>8</xdr:col>
      <xdr:colOff>3113089</xdr:colOff>
      <xdr:row>1</xdr:row>
      <xdr:rowOff>0</xdr:rowOff>
    </xdr:from>
    <xdr:to>
      <xdr:col>8</xdr:col>
      <xdr:colOff>3698749</xdr:colOff>
      <xdr:row>3</xdr:row>
      <xdr:rowOff>84980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604F403D-4C3B-42BB-BD1F-B3591BDBD389}"/>
            </a:ext>
          </a:extLst>
        </xdr:cNvPr>
        <xdr:cNvGrpSpPr/>
      </xdr:nvGrpSpPr>
      <xdr:grpSpPr>
        <a:xfrm>
          <a:off x="9852027" y="416719"/>
          <a:ext cx="585660" cy="590995"/>
          <a:chOff x="14976424" y="429402"/>
          <a:chExt cx="585049" cy="553293"/>
        </a:xfrm>
      </xdr:grpSpPr>
      <xdr:sp macro="[0]!VoltarNormal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8B5DB6A2-1C1B-4646-679E-5442994740DA}"/>
              </a:ext>
            </a:extLst>
          </xdr:cNvPr>
          <xdr:cNvSpPr/>
        </xdr:nvSpPr>
        <xdr:spPr>
          <a:xfrm>
            <a:off x="14976424" y="429402"/>
            <a:ext cx="585049" cy="553293"/>
          </a:xfrm>
          <a:prstGeom prst="roundRect">
            <a:avLst/>
          </a:prstGeom>
          <a:solidFill>
            <a:srgbClr val="002060"/>
          </a:solidFill>
          <a:ln>
            <a:noFill/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pic macro="[0]!VoltarNormal">
        <xdr:nvPicPr>
          <xdr:cNvPr id="7" name="Gráfico 6" descr="Minimizar com preenchimento sólido">
            <a:extLst>
              <a:ext uri="{FF2B5EF4-FFF2-40B4-BE49-F238E27FC236}">
                <a16:creationId xmlns:a16="http://schemas.microsoft.com/office/drawing/2014/main" id="{64CB8BCF-EE0C-D85F-B078-9CA7A4DA60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5099345" y="530906"/>
            <a:ext cx="339207" cy="350285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 w="165100" prst="coolSlant"/>
          </a:sp3d>
        </xdr:spPr>
      </xdr:pic>
    </xdr:grpSp>
    <xdr:clientData/>
  </xdr:twoCellAnchor>
  <xdr:twoCellAnchor>
    <xdr:from>
      <xdr:col>4</xdr:col>
      <xdr:colOff>326283</xdr:colOff>
      <xdr:row>1</xdr:row>
      <xdr:rowOff>15401</xdr:rowOff>
    </xdr:from>
    <xdr:to>
      <xdr:col>6</xdr:col>
      <xdr:colOff>240405</xdr:colOff>
      <xdr:row>3</xdr:row>
      <xdr:rowOff>52765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51B922B1-4C0B-492A-8602-E9BCA1C0E1AE}"/>
            </a:ext>
          </a:extLst>
        </xdr:cNvPr>
        <xdr:cNvGrpSpPr/>
      </xdr:nvGrpSpPr>
      <xdr:grpSpPr>
        <a:xfrm>
          <a:off x="3201642" y="432120"/>
          <a:ext cx="1580997" cy="543379"/>
          <a:chOff x="7251700" y="298450"/>
          <a:chExt cx="1898650" cy="615950"/>
        </a:xfrm>
      </xdr:grpSpPr>
      <xdr:sp macro="[0]!Ir_Dashboard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1BA1003E-9EBC-BF23-6FFD-D383155BE896}"/>
              </a:ext>
            </a:extLst>
          </xdr:cNvPr>
          <xdr:cNvSpPr/>
        </xdr:nvSpPr>
        <xdr:spPr>
          <a:xfrm>
            <a:off x="7251700" y="298450"/>
            <a:ext cx="1898650" cy="615950"/>
          </a:xfrm>
          <a:prstGeom prst="round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sp macro="[0]!Ir_Dashboard" textlink="">
        <xdr:nvSpPr>
          <xdr:cNvPr id="10" name="Retângulo 9">
            <a:extLst>
              <a:ext uri="{FF2B5EF4-FFF2-40B4-BE49-F238E27FC236}">
                <a16:creationId xmlns:a16="http://schemas.microsoft.com/office/drawing/2014/main" id="{7649F1FC-36A0-1B1F-EDF4-95BD7DF41DD3}"/>
              </a:ext>
            </a:extLst>
          </xdr:cNvPr>
          <xdr:cNvSpPr/>
        </xdr:nvSpPr>
        <xdr:spPr>
          <a:xfrm>
            <a:off x="7404401" y="367494"/>
            <a:ext cx="1612301" cy="406843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/>
          </a:sp3d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1" cap="none" spc="5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Dashboard</a:t>
            </a:r>
          </a:p>
        </xdr:txBody>
      </xdr:sp>
    </xdr:grpSp>
    <xdr:clientData/>
  </xdr:twoCellAnchor>
  <xdr:twoCellAnchor>
    <xdr:from>
      <xdr:col>6</xdr:col>
      <xdr:colOff>342429</xdr:colOff>
      <xdr:row>1</xdr:row>
      <xdr:rowOff>15401</xdr:rowOff>
    </xdr:from>
    <xdr:to>
      <xdr:col>7</xdr:col>
      <xdr:colOff>1304192</xdr:colOff>
      <xdr:row>3</xdr:row>
      <xdr:rowOff>84980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257983C8-D865-46E2-ADF1-745060F88BBB}"/>
            </a:ext>
          </a:extLst>
        </xdr:cNvPr>
        <xdr:cNvGrpSpPr/>
      </xdr:nvGrpSpPr>
      <xdr:grpSpPr>
        <a:xfrm>
          <a:off x="4884663" y="432120"/>
          <a:ext cx="1854732" cy="575594"/>
          <a:chOff x="9248172" y="260350"/>
          <a:chExt cx="1937967" cy="615950"/>
        </a:xfrm>
      </xdr:grpSpPr>
      <xdr:sp macro="[0]!Ir_Lancamentos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9B8A1A62-BF6C-E924-48CD-16BA25E22034}"/>
              </a:ext>
            </a:extLst>
          </xdr:cNvPr>
          <xdr:cNvSpPr/>
        </xdr:nvSpPr>
        <xdr:spPr>
          <a:xfrm>
            <a:off x="9258300" y="260350"/>
            <a:ext cx="1898650" cy="615950"/>
          </a:xfrm>
          <a:prstGeom prst="roundRect">
            <a:avLst/>
          </a:prstGeom>
          <a:solidFill>
            <a:srgbClr val="002060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sp macro="[0]!Ir_Lancamentos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18DC987D-E0B3-8638-95B4-CBF990E86A93}"/>
              </a:ext>
            </a:extLst>
          </xdr:cNvPr>
          <xdr:cNvSpPr/>
        </xdr:nvSpPr>
        <xdr:spPr>
          <a:xfrm>
            <a:off x="9248172" y="329394"/>
            <a:ext cx="1937967" cy="406843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/>
          </a:sp3d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1" cap="none" spc="5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Lançamentos</a:t>
            </a:r>
          </a:p>
        </xdr:txBody>
      </xdr:sp>
    </xdr:grpSp>
    <xdr:clientData/>
  </xdr:twoCellAnchor>
  <xdr:twoCellAnchor>
    <xdr:from>
      <xdr:col>0</xdr:col>
      <xdr:colOff>1</xdr:colOff>
      <xdr:row>2</xdr:row>
      <xdr:rowOff>154715</xdr:rowOff>
    </xdr:from>
    <xdr:to>
      <xdr:col>9</xdr:col>
      <xdr:colOff>1</xdr:colOff>
      <xdr:row>3</xdr:row>
      <xdr:rowOff>89409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BB723655-4537-49D2-B18E-0DF8A2365BDF}"/>
            </a:ext>
          </a:extLst>
        </xdr:cNvPr>
        <xdr:cNvSpPr/>
      </xdr:nvSpPr>
      <xdr:spPr>
        <a:xfrm>
          <a:off x="1" y="877638"/>
          <a:ext cx="11083192" cy="105656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</xdr:row>
          <xdr:rowOff>123825</xdr:rowOff>
        </xdr:from>
        <xdr:to>
          <xdr:col>3</xdr:col>
          <xdr:colOff>361950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Aptos Narrow"/>
                </a:rPr>
                <a:t>ATUALIZAR BD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311150</xdr:colOff>
      <xdr:row>1</xdr:row>
      <xdr:rowOff>127000</xdr:rowOff>
    </xdr:from>
    <xdr:to>
      <xdr:col>15</xdr:col>
      <xdr:colOff>0</xdr:colOff>
      <xdr:row>2</xdr:row>
      <xdr:rowOff>12700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82017187-56FA-47F3-8CF6-25CC9252EAAB}"/>
            </a:ext>
          </a:extLst>
        </xdr:cNvPr>
        <xdr:cNvGrpSpPr/>
      </xdr:nvGrpSpPr>
      <xdr:grpSpPr>
        <a:xfrm>
          <a:off x="13657356" y="339912"/>
          <a:ext cx="5403850" cy="614082"/>
          <a:chOff x="7251700" y="298450"/>
          <a:chExt cx="1898650" cy="615950"/>
        </a:xfrm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6C848487-0EB3-239C-DB4D-9A040398E4CA}"/>
              </a:ext>
            </a:extLst>
          </xdr:cNvPr>
          <xdr:cNvSpPr/>
        </xdr:nvSpPr>
        <xdr:spPr>
          <a:xfrm>
            <a:off x="7251700" y="298450"/>
            <a:ext cx="1898650" cy="61595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sp macro="[0]!Ir_Dashboard" textlink="">
        <xdr:nvSpPr>
          <xdr:cNvPr id="4" name="Retângulo 3">
            <a:extLst>
              <a:ext uri="{FF2B5EF4-FFF2-40B4-BE49-F238E27FC236}">
                <a16:creationId xmlns:a16="http://schemas.microsoft.com/office/drawing/2014/main" id="{DBD3B7D3-5687-EC2E-59C7-FBD584770FF4}"/>
              </a:ext>
            </a:extLst>
          </xdr:cNvPr>
          <xdr:cNvSpPr/>
        </xdr:nvSpPr>
        <xdr:spPr>
          <a:xfrm>
            <a:off x="7404401" y="367494"/>
            <a:ext cx="1612301" cy="40684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1" cap="none" spc="5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Dashboard</a:t>
            </a:r>
          </a:p>
        </xdr:txBody>
      </xdr:sp>
    </xdr:grpSp>
    <xdr:clientData/>
  </xdr:twoCellAnchor>
  <xdr:twoCellAnchor>
    <xdr:from>
      <xdr:col>15</xdr:col>
      <xdr:colOff>2570</xdr:colOff>
      <xdr:row>1</xdr:row>
      <xdr:rowOff>88900</xdr:rowOff>
    </xdr:from>
    <xdr:to>
      <xdr:col>17</xdr:col>
      <xdr:colOff>283187</xdr:colOff>
      <xdr:row>2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46FBBEC0-6B80-4B8A-BCC8-4A706DA98C8B}"/>
            </a:ext>
          </a:extLst>
        </xdr:cNvPr>
        <xdr:cNvGrpSpPr/>
      </xdr:nvGrpSpPr>
      <xdr:grpSpPr>
        <a:xfrm>
          <a:off x="19063776" y="301812"/>
          <a:ext cx="3754440" cy="639482"/>
          <a:chOff x="9248170" y="260350"/>
          <a:chExt cx="1937967" cy="615950"/>
        </a:xfrm>
      </xdr:grpSpPr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0BC7D3D-4FF1-4283-1828-DA569FC5FBBC}"/>
              </a:ext>
            </a:extLst>
          </xdr:cNvPr>
          <xdr:cNvSpPr/>
        </xdr:nvSpPr>
        <xdr:spPr>
          <a:xfrm>
            <a:off x="9258300" y="260350"/>
            <a:ext cx="1898650" cy="615950"/>
          </a:xfrm>
          <a:prstGeom prst="round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sp macro="[0]!Ir_Lancamentos" textlink="">
        <xdr:nvSpPr>
          <xdr:cNvPr id="7" name="Retângulo 6">
            <a:extLst>
              <a:ext uri="{FF2B5EF4-FFF2-40B4-BE49-F238E27FC236}">
                <a16:creationId xmlns:a16="http://schemas.microsoft.com/office/drawing/2014/main" id="{A9279060-042F-5693-125B-FF8331ED7272}"/>
              </a:ext>
            </a:extLst>
          </xdr:cNvPr>
          <xdr:cNvSpPr/>
        </xdr:nvSpPr>
        <xdr:spPr>
          <a:xfrm>
            <a:off x="9248170" y="329394"/>
            <a:ext cx="1937967" cy="40684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1" cap="none" spc="5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Lançamentos</a:t>
            </a:r>
          </a:p>
        </xdr:txBody>
      </xdr:sp>
    </xdr:grpSp>
    <xdr:clientData/>
  </xdr:twoCellAnchor>
  <xdr:twoCellAnchor>
    <xdr:from>
      <xdr:col>0</xdr:col>
      <xdr:colOff>63500</xdr:colOff>
      <xdr:row>1</xdr:row>
      <xdr:rowOff>679450</xdr:rowOff>
    </xdr:from>
    <xdr:to>
      <xdr:col>37</xdr:col>
      <xdr:colOff>609600</xdr:colOff>
      <xdr:row>2</xdr:row>
      <xdr:rowOff>57150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C716F445-4C10-461E-9A17-1231FD238674}"/>
            </a:ext>
          </a:extLst>
        </xdr:cNvPr>
        <xdr:cNvSpPr/>
      </xdr:nvSpPr>
      <xdr:spPr>
        <a:xfrm>
          <a:off x="63500" y="850900"/>
          <a:ext cx="22015450" cy="107950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36</xdr:col>
      <xdr:colOff>171450</xdr:colOff>
      <xdr:row>1</xdr:row>
      <xdr:rowOff>169592</xdr:rowOff>
    </xdr:from>
    <xdr:to>
      <xdr:col>37</xdr:col>
      <xdr:colOff>12700</xdr:colOff>
      <xdr:row>1</xdr:row>
      <xdr:rowOff>171449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2790AEDA-FF37-459C-92F4-F41D51AC7738}"/>
            </a:ext>
          </a:extLst>
        </xdr:cNvPr>
        <xdr:cNvGrpSpPr/>
      </xdr:nvGrpSpPr>
      <xdr:grpSpPr>
        <a:xfrm>
          <a:off x="44994979" y="382504"/>
          <a:ext cx="1253192" cy="1857"/>
          <a:chOff x="11290300" y="273050"/>
          <a:chExt cx="673100" cy="615950"/>
        </a:xfrm>
      </xdr:grpSpPr>
      <xdr:sp macro="[0]!TelaCheia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52A81547-38AD-0329-4E7E-8EC89382D002}"/>
              </a:ext>
            </a:extLst>
          </xdr:cNvPr>
          <xdr:cNvSpPr/>
        </xdr:nvSpPr>
        <xdr:spPr>
          <a:xfrm>
            <a:off x="11290300" y="273050"/>
            <a:ext cx="673100" cy="615950"/>
          </a:xfrm>
          <a:prstGeom prst="round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pic macro="[0]!TelaCheia">
        <xdr:nvPicPr>
          <xdr:cNvPr id="11" name="Gráfico 10" descr="Maximizar com preenchimento sólido">
            <a:extLst>
              <a:ext uri="{FF2B5EF4-FFF2-40B4-BE49-F238E27FC236}">
                <a16:creationId xmlns:a16="http://schemas.microsoft.com/office/drawing/2014/main" id="{D9F18D4B-F357-AB07-72F3-88E23BE5B1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360150" y="311150"/>
            <a:ext cx="501650" cy="501650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984250</xdr:colOff>
      <xdr:row>1</xdr:row>
      <xdr:rowOff>197149</xdr:rowOff>
    </xdr:from>
    <xdr:to>
      <xdr:col>20</xdr:col>
      <xdr:colOff>6350</xdr:colOff>
      <xdr:row>1</xdr:row>
      <xdr:rowOff>698500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A512383D-0AA3-4E07-B428-BC4549B7DD4F}"/>
            </a:ext>
          </a:extLst>
        </xdr:cNvPr>
        <xdr:cNvGrpSpPr/>
      </xdr:nvGrpSpPr>
      <xdr:grpSpPr>
        <a:xfrm>
          <a:off x="25794074" y="410061"/>
          <a:ext cx="501276" cy="501351"/>
          <a:chOff x="12109450" y="273050"/>
          <a:chExt cx="673100" cy="615950"/>
        </a:xfrm>
      </xdr:grpSpPr>
      <xdr:sp macro="[0]!VoltarNormal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A9CB3689-506E-85A5-3C2E-BE08CE625488}"/>
              </a:ext>
            </a:extLst>
          </xdr:cNvPr>
          <xdr:cNvSpPr/>
        </xdr:nvSpPr>
        <xdr:spPr>
          <a:xfrm>
            <a:off x="12109450" y="273050"/>
            <a:ext cx="673100" cy="615950"/>
          </a:xfrm>
          <a:prstGeom prst="round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pic macro="[0]!VoltarNormal">
        <xdr:nvPicPr>
          <xdr:cNvPr id="14" name="Gráfico 13" descr="Minimizar com preenchimento sólido">
            <a:extLst>
              <a:ext uri="{FF2B5EF4-FFF2-40B4-BE49-F238E27FC236}">
                <a16:creationId xmlns:a16="http://schemas.microsoft.com/office/drawing/2014/main" id="{0AFEDB0A-38C4-9CC4-F06F-99EEA743D1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204700" y="323850"/>
            <a:ext cx="514350" cy="514350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400050</xdr:colOff>
      <xdr:row>1</xdr:row>
      <xdr:rowOff>209550</xdr:rowOff>
    </xdr:from>
    <xdr:to>
      <xdr:col>19</xdr:col>
      <xdr:colOff>901700</xdr:colOff>
      <xdr:row>1</xdr:row>
      <xdr:rowOff>668607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C8C0F410-E26E-4611-BB90-EC80A929F294}"/>
            </a:ext>
          </a:extLst>
        </xdr:cNvPr>
        <xdr:cNvGrpSpPr/>
      </xdr:nvGrpSpPr>
      <xdr:grpSpPr>
        <a:xfrm>
          <a:off x="25209874" y="422462"/>
          <a:ext cx="501650" cy="459057"/>
          <a:chOff x="11290300" y="273050"/>
          <a:chExt cx="673100" cy="615950"/>
        </a:xfrm>
      </xdr:grpSpPr>
      <xdr:sp macro="[0]!TelaCheia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BA479224-15CA-EC58-7BF0-92658CD19CAD}"/>
              </a:ext>
            </a:extLst>
          </xdr:cNvPr>
          <xdr:cNvSpPr/>
        </xdr:nvSpPr>
        <xdr:spPr>
          <a:xfrm>
            <a:off x="11290300" y="273050"/>
            <a:ext cx="673100" cy="615950"/>
          </a:xfrm>
          <a:prstGeom prst="round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pic macro="[0]!TelaCheia">
        <xdr:nvPicPr>
          <xdr:cNvPr id="17" name="Gráfico 16" descr="Maximizar com preenchimento sólido">
            <a:extLst>
              <a:ext uri="{FF2B5EF4-FFF2-40B4-BE49-F238E27FC236}">
                <a16:creationId xmlns:a16="http://schemas.microsoft.com/office/drawing/2014/main" id="{395235D8-1029-41EA-2F9E-26890B670F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360150" y="311150"/>
            <a:ext cx="501650" cy="50165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300.327494212965" missingItemsLimit="0" createdVersion="8" refreshedVersion="8" minRefreshableVersion="3" recordCount="97" xr:uid="{9E06154C-1257-4066-89D3-7E21E3598328}">
  <cacheSource type="worksheet">
    <worksheetSource name="BaseLanc"/>
  </cacheSource>
  <cacheFields count="15">
    <cacheField name="DT Compra" numFmtId="171">
      <sharedItems containsSemiMixedTypes="0" containsNonDate="0" containsDate="1" containsString="0" minDate="2026-08-04T00:00:00" maxDate="2026-10-29T00:00:00"/>
    </cacheField>
    <cacheField name="DT Venc" numFmtId="171">
      <sharedItems containsSemiMixedTypes="0" containsNonDate="0" containsDate="1" containsString="0" minDate="2026-08-04T00:00:00" maxDate="2026-10-29T00:00:00"/>
    </cacheField>
    <cacheField name="MÊS REF" numFmtId="168">
      <sharedItems containsSemiMixedTypes="0" containsNonDate="0" containsDate="1" containsString="0" minDate="2026-08-01T00:00:00" maxDate="2026-10-02T00:00:00" count="3">
        <d v="2026-08-01T00:00:00"/>
        <d v="2026-09-01T00:00:00"/>
        <d v="2026-10-01T00:00:00"/>
      </sharedItems>
    </cacheField>
    <cacheField name="TIPO" numFmtId="169">
      <sharedItems/>
    </cacheField>
    <cacheField name="Categoria" numFmtId="0">
      <sharedItems count="20">
        <s v="(R) SALARIO"/>
        <s v="(R) BONUS"/>
        <s v="(R) EXTRA"/>
        <s v="(R) RENDIMENTOS"/>
        <s v="(I) INVESTIMENTO"/>
        <s v="(D) ALIMENTACAO"/>
        <s v="(D) ASSINATURAS"/>
        <s v="(D) EMPRESTIMOS"/>
        <s v="(D) TRANSPORTE"/>
        <s v="(D) RESTAURANTES"/>
        <s v="(D) SAUDE"/>
        <s v="(D) EDUCACAO"/>
        <s v="(D) MORADIA - ALUGUEL"/>
        <s v="(D) CONDOMINIO"/>
        <s v="(D) MORADIA - AGUA"/>
        <s v="(D) LAZER"/>
        <s v="(D) MORADIA - ENERGIA"/>
        <s v="(D) CELULAR"/>
        <s v="(D) MORADIA - INTERNET"/>
        <s v="(D) CARTAO DE CREDITO"/>
      </sharedItems>
    </cacheField>
    <cacheField name="VlrReceita" numFmtId="0">
      <sharedItems containsString="0" containsBlank="1" containsNumber="1" minValue="312.39999999999998" maxValue="9800"/>
    </cacheField>
    <cacheField name="VlrDespesa" numFmtId="165">
      <sharedItems containsString="0" containsBlank="1" containsNumber="1" minValue="14.9" maxValue="3402.15"/>
    </cacheField>
    <cacheField name="Descricao" numFmtId="0">
      <sharedItems/>
    </cacheField>
    <cacheField name="Pessoa" numFmtId="0">
      <sharedItems/>
    </cacheField>
    <cacheField name="Status Pgto" numFmtId="0">
      <sharedItems/>
    </cacheField>
    <cacheField name="Obs (OPCIONAL)" numFmtId="0">
      <sharedItems containsBlank="1"/>
    </cacheField>
    <cacheField name="PRI" numFmtId="0">
      <sharedItems/>
    </cacheField>
    <cacheField name="Saldo" numFmtId="0" formula="VlrReceita-VlrDespesa" databaseField="0"/>
    <cacheField name="Percentual" numFmtId="0" formula="VlrReceita" databaseField="0"/>
    <cacheField name="PercDespesa" numFmtId="0" formula="VlrDespesa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300.327494444442" missingItemsLimit="0" createdVersion="8" refreshedVersion="8" minRefreshableVersion="3" recordCount="6" xr:uid="{6BD4CD79-A88E-4A07-A496-36EF4C428610}">
  <cacheSource type="worksheet">
    <worksheetSource name="Tb_Emprestimos"/>
  </cacheSource>
  <cacheFields count="8">
    <cacheField name="DATA" numFmtId="14">
      <sharedItems containsSemiMixedTypes="0" containsNonDate="0" containsDate="1" containsString="0" minDate="2026-08-05T00:00:00" maxDate="2026-10-06T00:00:00"/>
    </cacheField>
    <cacheField name="MÊS REF" numFmtId="17">
      <sharedItems containsSemiMixedTypes="0" containsNonDate="0" containsDate="1" containsString="0" minDate="2026-08-05T00:00:00" maxDate="2026-10-06T00:00:00" count="3">
        <d v="2026-08-05T00:00:00"/>
        <d v="2026-09-05T00:00:00"/>
        <d v="2026-10-05T00:00:00"/>
      </sharedItems>
    </cacheField>
    <cacheField name="PRAZO(m)" numFmtId="1">
      <sharedItems containsSemiMixedTypes="0" containsString="0" containsNumber="1" containsInteger="1" minValue="44" maxValue="59"/>
    </cacheField>
    <cacheField name="Vlr.Prest" numFmtId="165">
      <sharedItems containsSemiMixedTypes="0" containsString="0" containsNumber="1" containsInteger="1" minValue="780" maxValue="1150"/>
    </cacheField>
    <cacheField name="TAXA(a.m)" numFmtId="167">
      <sharedItems containsSemiMixedTypes="0" containsString="0" containsNumber="1" minValue="1.35" maxValue="1.7"/>
    </cacheField>
    <cacheField name="Vlr LIQ" numFmtId="166">
      <sharedItems containsString="0" containsBlank="1" containsNumber="1" containsInteger="1" minValue="28000" maxValue="38000"/>
    </cacheField>
    <cacheField name="Sld Devedor" numFmtId="166">
      <sharedItems containsSemiMixedTypes="0" containsString="0" containsNumber="1" containsInteger="1" minValue="23560" maxValue="31450"/>
    </cacheField>
    <cacheField name="DESCRIÇÃO" numFmtId="0">
      <sharedItems count="2">
        <s v="FINANC. VEICULO"/>
        <s v="CONSIGNAD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300.327494444442" missingItemsLimit="0" createdVersion="8" refreshedVersion="8" minRefreshableVersion="3" recordCount="97" xr:uid="{27351202-85FA-4FFB-A5A5-8BFB2FD6180F}">
  <cacheSource type="worksheet">
    <worksheetSource name="BaseLanc"/>
  </cacheSource>
  <cacheFields count="15">
    <cacheField name="DT Compra" numFmtId="171">
      <sharedItems containsSemiMixedTypes="0" containsNonDate="0" containsDate="1" containsString="0" minDate="2026-08-04T00:00:00" maxDate="2026-10-29T00:00:00"/>
    </cacheField>
    <cacheField name="DT Venc" numFmtId="171">
      <sharedItems containsSemiMixedTypes="0" containsNonDate="0" containsDate="1" containsString="0" minDate="2026-08-04T00:00:00" maxDate="2026-10-29T00:00:00"/>
    </cacheField>
    <cacheField name="MÊS REF" numFmtId="168">
      <sharedItems containsSemiMixedTypes="0" containsNonDate="0" containsDate="1" containsString="0" minDate="2026-08-01T00:00:00" maxDate="2026-10-02T00:00:00" count="3">
        <d v="2026-08-01T00:00:00"/>
        <d v="2026-09-01T00:00:00"/>
        <d v="2026-10-01T00:00:00"/>
      </sharedItems>
    </cacheField>
    <cacheField name="TIPO" numFmtId="169">
      <sharedItems count="3">
        <s v="RECEITA"/>
        <s v="INVEST"/>
        <s v="DESPESA"/>
      </sharedItems>
    </cacheField>
    <cacheField name="Categoria" numFmtId="0">
      <sharedItems count="20">
        <s v="(R) SALARIO"/>
        <s v="(R) BONUS"/>
        <s v="(R) EXTRA"/>
        <s v="(R) RENDIMENTOS"/>
        <s v="(I) INVESTIMENTO"/>
        <s v="(D) ALIMENTACAO"/>
        <s v="(D) ASSINATURAS"/>
        <s v="(D) EMPRESTIMOS"/>
        <s v="(D) TRANSPORTE"/>
        <s v="(D) RESTAURANTES"/>
        <s v="(D) SAUDE"/>
        <s v="(D) EDUCACAO"/>
        <s v="(D) MORADIA - ALUGUEL"/>
        <s v="(D) CONDOMINIO"/>
        <s v="(D) MORADIA - AGUA"/>
        <s v="(D) LAZER"/>
        <s v="(D) MORADIA - ENERGIA"/>
        <s v="(D) CELULAR"/>
        <s v="(D) MORADIA - INTERNET"/>
        <s v="(D) CARTAO DE CREDITO"/>
      </sharedItems>
    </cacheField>
    <cacheField name="VlrReceita" numFmtId="0">
      <sharedItems containsString="0" containsBlank="1" containsNumber="1" minValue="312.39999999999998" maxValue="9800"/>
    </cacheField>
    <cacheField name="VlrDespesa" numFmtId="165">
      <sharedItems containsString="0" containsBlank="1" containsNumber="1" minValue="14.9" maxValue="3402.15"/>
    </cacheField>
    <cacheField name="Descricao" numFmtId="0">
      <sharedItems/>
    </cacheField>
    <cacheField name="Pessoa" numFmtId="0">
      <sharedItems/>
    </cacheField>
    <cacheField name="Status Pgto" numFmtId="0">
      <sharedItems count="2">
        <s v="Realizado"/>
        <s v="Previsto"/>
      </sharedItems>
    </cacheField>
    <cacheField name="Obs (OPCIONAL)" numFmtId="0">
      <sharedItems containsBlank="1"/>
    </cacheField>
    <cacheField name="PRI" numFmtId="0">
      <sharedItems/>
    </cacheField>
    <cacheField name="Saldo" numFmtId="0" formula="VlrReceita-VlrDespesa" databaseField="0"/>
    <cacheField name="Percentual" numFmtId="0" formula="VlrReceita" databaseField="0"/>
    <cacheField name="PercDespesa" numFmtId="0" formula="VlrDespesa" databaseField="0"/>
  </cacheFields>
  <extLst>
    <ext xmlns:x14="http://schemas.microsoft.com/office/spreadsheetml/2009/9/main" uri="{725AE2AE-9491-48be-B2B4-4EB974FC3084}">
      <x14:pivotCacheDefinition pivotCacheId="117451437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">
  <r>
    <d v="2026-08-05T00:00:00"/>
    <d v="2026-08-05T00:00:00"/>
    <x v="0"/>
    <s v="RECEITA"/>
    <x v="0"/>
    <n v="5600"/>
    <m/>
    <s v="Salario mensal"/>
    <s v="Marina Souza"/>
    <s v="Realizado"/>
    <m/>
    <s v="Alta"/>
  </r>
  <r>
    <d v="2026-08-05T00:00:00"/>
    <d v="2026-08-05T00:00:00"/>
    <x v="0"/>
    <s v="RECEITA"/>
    <x v="0"/>
    <n v="9800"/>
    <m/>
    <s v="Salario mensal"/>
    <s v="Alex Moreira"/>
    <s v="Realizado"/>
    <m/>
    <s v="Alta"/>
  </r>
  <r>
    <d v="2026-08-15T00:00:00"/>
    <d v="2026-08-15T00:00:00"/>
    <x v="0"/>
    <s v="RECEITA"/>
    <x v="1"/>
    <n v="2500"/>
    <m/>
    <s v="Bonus semestral"/>
    <s v="Alex Moreira"/>
    <s v="Realizado"/>
    <s v="Valor liquido"/>
    <s v="Media"/>
  </r>
  <r>
    <d v="2026-08-18T00:00:00"/>
    <d v="2026-08-20T00:00:00"/>
    <x v="0"/>
    <s v="RECEITA"/>
    <x v="2"/>
    <n v="1450"/>
    <m/>
    <s v="Projeto freelance"/>
    <s v="Alex Moreira"/>
    <s v="Realizado"/>
    <m/>
    <s v="Media"/>
  </r>
  <r>
    <d v="2026-08-28T00:00:00"/>
    <d v="2026-08-28T00:00:00"/>
    <x v="0"/>
    <s v="RECEITA"/>
    <x v="3"/>
    <n v="312.39999999999998"/>
    <m/>
    <s v="Rendimentos da carteira"/>
    <s v="Familia"/>
    <s v="Realizado"/>
    <m/>
    <s v="Baixa"/>
  </r>
  <r>
    <d v="2026-08-06T00:00:00"/>
    <d v="2026-08-06T00:00:00"/>
    <x v="0"/>
    <s v="INVEST"/>
    <x v="4"/>
    <m/>
    <n v="1000"/>
    <s v="Aporte mensal - renda fixa"/>
    <s v="Alex Moreira"/>
    <s v="Realizado"/>
    <m/>
    <s v="Media"/>
  </r>
  <r>
    <d v="2026-08-20T00:00:00"/>
    <d v="2026-08-20T00:00:00"/>
    <x v="0"/>
    <s v="INVEST"/>
    <x v="4"/>
    <m/>
    <n v="500"/>
    <s v="Reserva de emergencia"/>
    <s v="Familia"/>
    <s v="Realizado"/>
    <m/>
    <s v="Media"/>
  </r>
  <r>
    <d v="2026-08-04T00:00:00"/>
    <d v="2026-08-04T00:00:00"/>
    <x v="0"/>
    <s v="DESPESA"/>
    <x v="5"/>
    <m/>
    <n v="612.29999999999995"/>
    <s v="Supermercado"/>
    <s v="Familia"/>
    <s v="Realizado"/>
    <s v="Compra do mes"/>
    <s v="Media"/>
  </r>
  <r>
    <d v="2026-08-05T00:00:00"/>
    <d v="2026-08-05T00:00:00"/>
    <x v="0"/>
    <s v="DESPESA"/>
    <x v="6"/>
    <m/>
    <n v="55.9"/>
    <s v="Streaming de video"/>
    <s v="Familia"/>
    <s v="Realizado"/>
    <m/>
    <s v="Baixa"/>
  </r>
  <r>
    <d v="2026-08-05T00:00:00"/>
    <d v="2026-08-05T00:00:00"/>
    <x v="0"/>
    <s v="DESPESA"/>
    <x v="7"/>
    <m/>
    <n v="1150"/>
    <s v="Parcela financiamento veiculo"/>
    <s v="Alex Moreira"/>
    <s v="Realizado"/>
    <s v="Parcela fixa"/>
    <s v="Alta"/>
  </r>
  <r>
    <d v="2026-08-05T00:00:00"/>
    <d v="2026-08-05T00:00:00"/>
    <x v="0"/>
    <s v="DESPESA"/>
    <x v="7"/>
    <m/>
    <n v="780"/>
    <s v="Parcela consignado"/>
    <s v="Alex Moreira"/>
    <s v="Realizado"/>
    <s v="Desconto em folha"/>
    <s v="Alta"/>
  </r>
  <r>
    <d v="2026-08-05T00:00:00"/>
    <d v="2026-08-05T00:00:00"/>
    <x v="0"/>
    <s v="DESPESA"/>
    <x v="6"/>
    <m/>
    <n v="21.9"/>
    <s v="Streaming de musica"/>
    <s v="Familia"/>
    <s v="Realizado"/>
    <m/>
    <s v="Baixa"/>
  </r>
  <r>
    <d v="2026-08-07T00:00:00"/>
    <d v="2026-08-07T00:00:00"/>
    <x v="0"/>
    <s v="DESPESA"/>
    <x v="8"/>
    <m/>
    <n v="320"/>
    <s v="Combustivel"/>
    <s v="Alex Moreira"/>
    <s v="Realizado"/>
    <m/>
    <s v="Media"/>
  </r>
  <r>
    <d v="2026-08-08T00:00:00"/>
    <d v="2026-08-08T00:00:00"/>
    <x v="0"/>
    <s v="DESPESA"/>
    <x v="9"/>
    <m/>
    <n v="185"/>
    <s v="Jantar fim de semana"/>
    <s v="Familia"/>
    <s v="Realizado"/>
    <m/>
    <s v="Baixa"/>
  </r>
  <r>
    <d v="2026-08-08T00:00:00"/>
    <d v="2026-08-08T00:00:00"/>
    <x v="0"/>
    <s v="DESPESA"/>
    <x v="10"/>
    <m/>
    <n v="689.9"/>
    <s v="Plano de saude"/>
    <s v="Familia"/>
    <s v="Realizado"/>
    <m/>
    <s v="Alta"/>
  </r>
  <r>
    <d v="2026-08-09T00:00:00"/>
    <d v="2026-08-09T00:00:00"/>
    <x v="0"/>
    <s v="DESPESA"/>
    <x v="6"/>
    <m/>
    <n v="14.9"/>
    <s v="Armazenamento em nuvem"/>
    <s v="Alex Moreira"/>
    <s v="Realizado"/>
    <m/>
    <s v="Baixa"/>
  </r>
  <r>
    <d v="2026-08-10T00:00:00"/>
    <d v="2026-08-10T00:00:00"/>
    <x v="0"/>
    <s v="DESPESA"/>
    <x v="11"/>
    <m/>
    <n v="380"/>
    <s v="Curso de ingles"/>
    <s v="Marina Souza"/>
    <s v="Realizado"/>
    <m/>
    <s v="Media"/>
  </r>
  <r>
    <d v="2026-08-10T00:00:00"/>
    <d v="2026-08-10T00:00:00"/>
    <x v="0"/>
    <s v="DESPESA"/>
    <x v="12"/>
    <m/>
    <n v="3200"/>
    <s v="Aluguel"/>
    <s v="Familia"/>
    <s v="Realizado"/>
    <m/>
    <s v="Alta"/>
  </r>
  <r>
    <d v="2026-08-10T00:00:00"/>
    <d v="2026-08-10T00:00:00"/>
    <x v="0"/>
    <s v="DESPESA"/>
    <x v="13"/>
    <m/>
    <n v="785"/>
    <s v="Condominio"/>
    <s v="Familia"/>
    <s v="Realizado"/>
    <m/>
    <s v="Alta"/>
  </r>
  <r>
    <d v="2026-08-12T00:00:00"/>
    <d v="2026-08-12T00:00:00"/>
    <x v="0"/>
    <s v="DESPESA"/>
    <x v="14"/>
    <m/>
    <n v="98.2"/>
    <s v="Conta de agua"/>
    <s v="Familia"/>
    <s v="Realizado"/>
    <m/>
    <s v="Alta"/>
  </r>
  <r>
    <d v="2026-08-13T00:00:00"/>
    <d v="2026-08-13T00:00:00"/>
    <x v="0"/>
    <s v="DESPESA"/>
    <x v="5"/>
    <m/>
    <n v="478.55"/>
    <s v="Supermercado"/>
    <s v="Familia"/>
    <s v="Realizado"/>
    <m/>
    <s v="Media"/>
  </r>
  <r>
    <d v="2026-08-14T00:00:00"/>
    <d v="2026-08-14T00:00:00"/>
    <x v="0"/>
    <s v="DESPESA"/>
    <x v="15"/>
    <m/>
    <n v="129"/>
    <s v="Cinema e passeios"/>
    <s v="Familia"/>
    <s v="Realizado"/>
    <m/>
    <s v="Baixa"/>
  </r>
  <r>
    <d v="2026-08-15T00:00:00"/>
    <d v="2026-08-15T00:00:00"/>
    <x v="0"/>
    <s v="DESPESA"/>
    <x v="16"/>
    <m/>
    <n v="238.4"/>
    <s v="Conta de energia"/>
    <s v="Familia"/>
    <s v="Realizado"/>
    <m/>
    <s v="Alta"/>
  </r>
  <r>
    <d v="2026-08-16T00:00:00"/>
    <d v="2026-08-16T00:00:00"/>
    <x v="0"/>
    <s v="DESPESA"/>
    <x v="8"/>
    <m/>
    <n v="86.4"/>
    <s v="Aplicativo de transporte"/>
    <s v="Marina Souza"/>
    <s v="Realizado"/>
    <m/>
    <s v="Baixa"/>
  </r>
  <r>
    <d v="2026-08-18T00:00:00"/>
    <d v="2026-08-18T00:00:00"/>
    <x v="0"/>
    <s v="DESPESA"/>
    <x v="17"/>
    <m/>
    <n v="79.900000000000006"/>
    <s v="Plano celular"/>
    <s v="Alex Moreira"/>
    <s v="Realizado"/>
    <m/>
    <s v="Media"/>
  </r>
  <r>
    <d v="2026-08-18T00:00:00"/>
    <d v="2026-08-18T00:00:00"/>
    <x v="0"/>
    <s v="DESPESA"/>
    <x v="17"/>
    <m/>
    <n v="59.9"/>
    <s v="Plano celular"/>
    <s v="Marina Souza"/>
    <s v="Realizado"/>
    <m/>
    <s v="Media"/>
  </r>
  <r>
    <d v="2026-08-19T00:00:00"/>
    <d v="2026-08-19T00:00:00"/>
    <x v="0"/>
    <s v="DESPESA"/>
    <x v="10"/>
    <m/>
    <n v="142.30000000000001"/>
    <s v="Farmacia"/>
    <s v="Familia"/>
    <s v="Realizado"/>
    <m/>
    <s v="Media"/>
  </r>
  <r>
    <d v="2026-08-20T00:00:00"/>
    <d v="2026-08-20T00:00:00"/>
    <x v="0"/>
    <s v="DESPESA"/>
    <x v="18"/>
    <m/>
    <n v="129.9"/>
    <s v="Internet fibra 500 Mb"/>
    <s v="Familia"/>
    <s v="Realizado"/>
    <m/>
    <s v="Media"/>
  </r>
  <r>
    <d v="2026-08-21T00:00:00"/>
    <d v="2026-08-21T00:00:00"/>
    <x v="0"/>
    <s v="DESPESA"/>
    <x v="9"/>
    <m/>
    <n v="240"/>
    <s v="Almoco em familia"/>
    <s v="Familia"/>
    <s v="Realizado"/>
    <m/>
    <s v="Baixa"/>
  </r>
  <r>
    <d v="2026-08-22T00:00:00"/>
    <d v="2026-08-22T00:00:00"/>
    <x v="0"/>
    <s v="DESPESA"/>
    <x v="8"/>
    <m/>
    <n v="290"/>
    <s v="Combustivel"/>
    <s v="Marina Souza"/>
    <s v="Realizado"/>
    <m/>
    <s v="Media"/>
  </r>
  <r>
    <d v="2026-08-24T00:00:00"/>
    <d v="2026-08-24T00:00:00"/>
    <x v="0"/>
    <s v="DESPESA"/>
    <x v="5"/>
    <m/>
    <n v="701.2"/>
    <s v="Supermercado"/>
    <s v="Familia"/>
    <s v="Realizado"/>
    <m/>
    <s v="Media"/>
  </r>
  <r>
    <d v="2026-08-25T00:00:00"/>
    <d v="2026-08-25T00:00:00"/>
    <x v="0"/>
    <s v="DESPESA"/>
    <x v="19"/>
    <m/>
    <n v="3184.6"/>
    <s v="Fatura do cartao"/>
    <s v="Familia"/>
    <s v="Realizado"/>
    <m/>
    <s v="Alta"/>
  </r>
  <r>
    <d v="2026-08-26T00:00:00"/>
    <d v="2026-08-26T00:00:00"/>
    <x v="0"/>
    <s v="DESPESA"/>
    <x v="15"/>
    <m/>
    <n v="210"/>
    <s v="Fim de semana"/>
    <s v="Familia"/>
    <s v="Realizado"/>
    <m/>
    <s v="Baixa"/>
  </r>
  <r>
    <d v="2026-09-05T00:00:00"/>
    <d v="2026-09-05T00:00:00"/>
    <x v="1"/>
    <s v="RECEITA"/>
    <x v="0"/>
    <n v="5600"/>
    <m/>
    <s v="Salario mensal"/>
    <s v="Marina Souza"/>
    <s v="Realizado"/>
    <m/>
    <s v="Alta"/>
  </r>
  <r>
    <d v="2026-09-05T00:00:00"/>
    <d v="2026-09-05T00:00:00"/>
    <x v="1"/>
    <s v="RECEITA"/>
    <x v="0"/>
    <n v="9800"/>
    <m/>
    <s v="Salario mensal"/>
    <s v="Alex Moreira"/>
    <s v="Realizado"/>
    <m/>
    <s v="Alta"/>
  </r>
  <r>
    <d v="2026-09-18T00:00:00"/>
    <d v="2026-09-20T00:00:00"/>
    <x v="1"/>
    <s v="RECEITA"/>
    <x v="2"/>
    <n v="2100"/>
    <m/>
    <s v="Projeto freelance"/>
    <s v="Alex Moreira"/>
    <s v="Realizado"/>
    <m/>
    <s v="Media"/>
  </r>
  <r>
    <d v="2026-09-28T00:00:00"/>
    <d v="2026-09-28T00:00:00"/>
    <x v="1"/>
    <s v="RECEITA"/>
    <x v="3"/>
    <n v="318.75"/>
    <m/>
    <s v="Rendimentos da carteira"/>
    <s v="Familia"/>
    <s v="Realizado"/>
    <m/>
    <s v="Baixa"/>
  </r>
  <r>
    <d v="2026-09-06T00:00:00"/>
    <d v="2026-09-06T00:00:00"/>
    <x v="1"/>
    <s v="INVEST"/>
    <x v="4"/>
    <m/>
    <n v="1000"/>
    <s v="Aporte mensal - renda fixa"/>
    <s v="Alex Moreira"/>
    <s v="Realizado"/>
    <m/>
    <s v="Media"/>
  </r>
  <r>
    <d v="2026-09-20T00:00:00"/>
    <d v="2026-09-20T00:00:00"/>
    <x v="1"/>
    <s v="INVEST"/>
    <x v="4"/>
    <m/>
    <n v="500"/>
    <s v="Reserva de emergencia"/>
    <s v="Familia"/>
    <s v="Realizado"/>
    <m/>
    <s v="Media"/>
  </r>
  <r>
    <d v="2026-09-04T00:00:00"/>
    <d v="2026-09-04T00:00:00"/>
    <x v="1"/>
    <s v="DESPESA"/>
    <x v="5"/>
    <m/>
    <n v="588.4"/>
    <s v="Supermercado"/>
    <s v="Familia"/>
    <s v="Realizado"/>
    <s v="Compra do mes"/>
    <s v="Media"/>
  </r>
  <r>
    <d v="2026-09-05T00:00:00"/>
    <d v="2026-09-05T00:00:00"/>
    <x v="1"/>
    <s v="DESPESA"/>
    <x v="7"/>
    <m/>
    <n v="1150"/>
    <s v="Parcela financiamento veiculo"/>
    <s v="Alex Moreira"/>
    <s v="Realizado"/>
    <s v="Parcela fixa"/>
    <s v="Alta"/>
  </r>
  <r>
    <d v="2026-09-05T00:00:00"/>
    <d v="2026-09-05T00:00:00"/>
    <x v="1"/>
    <s v="DESPESA"/>
    <x v="7"/>
    <m/>
    <n v="780"/>
    <s v="Parcela consignado"/>
    <s v="Alex Moreira"/>
    <s v="Realizado"/>
    <s v="Desconto em folha"/>
    <s v="Alta"/>
  </r>
  <r>
    <d v="2026-09-05T00:00:00"/>
    <d v="2026-09-05T00:00:00"/>
    <x v="1"/>
    <s v="DESPESA"/>
    <x v="6"/>
    <m/>
    <n v="55.9"/>
    <s v="Streaming de video"/>
    <s v="Familia"/>
    <s v="Realizado"/>
    <m/>
    <s v="Baixa"/>
  </r>
  <r>
    <d v="2026-09-05T00:00:00"/>
    <d v="2026-09-05T00:00:00"/>
    <x v="1"/>
    <s v="DESPESA"/>
    <x v="6"/>
    <m/>
    <n v="21.9"/>
    <s v="Streaming de musica"/>
    <s v="Familia"/>
    <s v="Realizado"/>
    <m/>
    <s v="Baixa"/>
  </r>
  <r>
    <d v="2026-09-07T00:00:00"/>
    <d v="2026-09-07T00:00:00"/>
    <x v="1"/>
    <s v="DESPESA"/>
    <x v="8"/>
    <m/>
    <n v="335"/>
    <s v="Combustivel"/>
    <s v="Alex Moreira"/>
    <s v="Realizado"/>
    <m/>
    <s v="Media"/>
  </r>
  <r>
    <d v="2026-09-08T00:00:00"/>
    <d v="2026-09-08T00:00:00"/>
    <x v="1"/>
    <s v="DESPESA"/>
    <x v="10"/>
    <m/>
    <n v="689.9"/>
    <s v="Plano de saude"/>
    <s v="Familia"/>
    <s v="Realizado"/>
    <m/>
    <s v="Alta"/>
  </r>
  <r>
    <d v="2026-09-08T00:00:00"/>
    <d v="2026-09-08T00:00:00"/>
    <x v="1"/>
    <s v="DESPESA"/>
    <x v="9"/>
    <m/>
    <n v="185"/>
    <s v="Jantar fim de semana"/>
    <s v="Familia"/>
    <s v="Realizado"/>
    <m/>
    <s v="Baixa"/>
  </r>
  <r>
    <d v="2026-09-09T00:00:00"/>
    <d v="2026-09-09T00:00:00"/>
    <x v="1"/>
    <s v="DESPESA"/>
    <x v="6"/>
    <m/>
    <n v="14.9"/>
    <s v="Armazenamento em nuvem"/>
    <s v="Alex Moreira"/>
    <s v="Realizado"/>
    <m/>
    <s v="Baixa"/>
  </r>
  <r>
    <d v="2026-09-10T00:00:00"/>
    <d v="2026-09-10T00:00:00"/>
    <x v="1"/>
    <s v="DESPESA"/>
    <x v="11"/>
    <m/>
    <n v="380"/>
    <s v="Curso de ingles"/>
    <s v="Marina Souza"/>
    <s v="Realizado"/>
    <m/>
    <s v="Media"/>
  </r>
  <r>
    <d v="2026-09-10T00:00:00"/>
    <d v="2026-09-10T00:00:00"/>
    <x v="1"/>
    <s v="DESPESA"/>
    <x v="13"/>
    <m/>
    <n v="785"/>
    <s v="Condominio"/>
    <s v="Familia"/>
    <s v="Realizado"/>
    <m/>
    <s v="Alta"/>
  </r>
  <r>
    <d v="2026-09-10T00:00:00"/>
    <d v="2026-09-10T00:00:00"/>
    <x v="1"/>
    <s v="DESPESA"/>
    <x v="12"/>
    <m/>
    <n v="3200"/>
    <s v="Aluguel"/>
    <s v="Familia"/>
    <s v="Realizado"/>
    <m/>
    <s v="Alta"/>
  </r>
  <r>
    <d v="2026-09-12T00:00:00"/>
    <d v="2026-09-12T00:00:00"/>
    <x v="1"/>
    <s v="DESPESA"/>
    <x v="14"/>
    <m/>
    <n v="104.6"/>
    <s v="Conta de agua"/>
    <s v="Familia"/>
    <s v="Realizado"/>
    <m/>
    <s v="Alta"/>
  </r>
  <r>
    <d v="2026-09-13T00:00:00"/>
    <d v="2026-09-13T00:00:00"/>
    <x v="1"/>
    <s v="DESPESA"/>
    <x v="5"/>
    <m/>
    <n v="512.1"/>
    <s v="Supermercado"/>
    <s v="Familia"/>
    <s v="Realizado"/>
    <m/>
    <s v="Media"/>
  </r>
  <r>
    <d v="2026-09-14T00:00:00"/>
    <d v="2026-09-14T00:00:00"/>
    <x v="1"/>
    <s v="DESPESA"/>
    <x v="15"/>
    <m/>
    <n v="189.9"/>
    <s v="Cinema e passeios"/>
    <s v="Familia"/>
    <s v="Realizado"/>
    <m/>
    <s v="Baixa"/>
  </r>
  <r>
    <d v="2026-09-15T00:00:00"/>
    <d v="2026-09-15T00:00:00"/>
    <x v="1"/>
    <s v="DESPESA"/>
    <x v="16"/>
    <m/>
    <n v="261.14999999999998"/>
    <s v="Conta de energia"/>
    <s v="Familia"/>
    <s v="Realizado"/>
    <m/>
    <s v="Alta"/>
  </r>
  <r>
    <d v="2026-09-16T00:00:00"/>
    <d v="2026-09-16T00:00:00"/>
    <x v="1"/>
    <s v="DESPESA"/>
    <x v="8"/>
    <m/>
    <n v="86.4"/>
    <s v="Aplicativo de transporte"/>
    <s v="Marina Souza"/>
    <s v="Realizado"/>
    <m/>
    <s v="Baixa"/>
  </r>
  <r>
    <d v="2026-09-18T00:00:00"/>
    <d v="2026-09-18T00:00:00"/>
    <x v="1"/>
    <s v="DESPESA"/>
    <x v="17"/>
    <m/>
    <n v="59.9"/>
    <s v="Plano celular"/>
    <s v="Marina Souza"/>
    <s v="Realizado"/>
    <m/>
    <s v="Media"/>
  </r>
  <r>
    <d v="2026-09-18T00:00:00"/>
    <d v="2026-09-18T00:00:00"/>
    <x v="1"/>
    <s v="DESPESA"/>
    <x v="17"/>
    <m/>
    <n v="79.900000000000006"/>
    <s v="Plano celular"/>
    <s v="Alex Moreira"/>
    <s v="Realizado"/>
    <m/>
    <s v="Media"/>
  </r>
  <r>
    <d v="2026-09-19T00:00:00"/>
    <d v="2026-09-19T00:00:00"/>
    <x v="1"/>
    <s v="DESPESA"/>
    <x v="10"/>
    <m/>
    <n v="87.9"/>
    <s v="Farmacia"/>
    <s v="Familia"/>
    <s v="Realizado"/>
    <m/>
    <s v="Media"/>
  </r>
  <r>
    <d v="2026-09-20T00:00:00"/>
    <d v="2026-09-20T00:00:00"/>
    <x v="1"/>
    <s v="DESPESA"/>
    <x v="18"/>
    <m/>
    <n v="129.9"/>
    <s v="Internet fibra 500 Mb"/>
    <s v="Familia"/>
    <s v="Realizado"/>
    <m/>
    <s v="Media"/>
  </r>
  <r>
    <d v="2026-09-21T00:00:00"/>
    <d v="2026-09-21T00:00:00"/>
    <x v="1"/>
    <s v="DESPESA"/>
    <x v="9"/>
    <m/>
    <n v="240"/>
    <s v="Almoco em familia"/>
    <s v="Familia"/>
    <s v="Realizado"/>
    <m/>
    <s v="Baixa"/>
  </r>
  <r>
    <d v="2026-09-22T00:00:00"/>
    <d v="2026-09-22T00:00:00"/>
    <x v="1"/>
    <s v="DESPESA"/>
    <x v="8"/>
    <m/>
    <n v="284"/>
    <s v="Combustivel"/>
    <s v="Marina Souza"/>
    <s v="Realizado"/>
    <m/>
    <s v="Media"/>
  </r>
  <r>
    <d v="2026-09-24T00:00:00"/>
    <d v="2026-09-24T00:00:00"/>
    <x v="1"/>
    <s v="DESPESA"/>
    <x v="5"/>
    <m/>
    <n v="655.85"/>
    <s v="Supermercado"/>
    <s v="Familia"/>
    <s v="Realizado"/>
    <m/>
    <s v="Media"/>
  </r>
  <r>
    <d v="2026-09-25T00:00:00"/>
    <d v="2026-09-25T00:00:00"/>
    <x v="1"/>
    <s v="DESPESA"/>
    <x v="19"/>
    <m/>
    <n v="3402.15"/>
    <s v="Fatura do cartao"/>
    <s v="Familia"/>
    <s v="Realizado"/>
    <m/>
    <s v="Alta"/>
  </r>
  <r>
    <d v="2026-09-26T00:00:00"/>
    <d v="2026-09-26T00:00:00"/>
    <x v="1"/>
    <s v="DESPESA"/>
    <x v="15"/>
    <m/>
    <n v="175.5"/>
    <s v="Fim de semana"/>
    <s v="Familia"/>
    <s v="Realizado"/>
    <m/>
    <s v="Baixa"/>
  </r>
  <r>
    <d v="2026-10-05T00:00:00"/>
    <d v="2026-10-05T00:00:00"/>
    <x v="2"/>
    <s v="RECEITA"/>
    <x v="0"/>
    <n v="5600"/>
    <m/>
    <s v="Salario mensal"/>
    <s v="Marina Souza"/>
    <s v="Realizado"/>
    <m/>
    <s v="Alta"/>
  </r>
  <r>
    <d v="2026-10-05T00:00:00"/>
    <d v="2026-10-05T00:00:00"/>
    <x v="2"/>
    <s v="RECEITA"/>
    <x v="0"/>
    <n v="9800"/>
    <m/>
    <s v="Salario mensal"/>
    <s v="Alex Moreira"/>
    <s v="Realizado"/>
    <m/>
    <s v="Alta"/>
  </r>
  <r>
    <d v="2026-10-18T00:00:00"/>
    <d v="2026-10-20T00:00:00"/>
    <x v="2"/>
    <s v="RECEITA"/>
    <x v="2"/>
    <n v="1800"/>
    <m/>
    <s v="Projeto freelance"/>
    <s v="Alex Moreira"/>
    <s v="Previsto"/>
    <m/>
    <s v="Media"/>
  </r>
  <r>
    <d v="2026-10-28T00:00:00"/>
    <d v="2026-10-28T00:00:00"/>
    <x v="2"/>
    <s v="RECEITA"/>
    <x v="3"/>
    <n v="325.10000000000002"/>
    <m/>
    <s v="Rendimentos da carteira"/>
    <s v="Familia"/>
    <s v="Previsto"/>
    <m/>
    <s v="Baixa"/>
  </r>
  <r>
    <d v="2026-10-06T00:00:00"/>
    <d v="2026-10-06T00:00:00"/>
    <x v="2"/>
    <s v="INVEST"/>
    <x v="4"/>
    <m/>
    <n v="1000"/>
    <s v="Aporte mensal - renda fixa"/>
    <s v="Alex Moreira"/>
    <s v="Previsto"/>
    <m/>
    <s v="Media"/>
  </r>
  <r>
    <d v="2026-10-20T00:00:00"/>
    <d v="2026-10-20T00:00:00"/>
    <x v="2"/>
    <s v="INVEST"/>
    <x v="4"/>
    <m/>
    <n v="500"/>
    <s v="Reserva de emergencia"/>
    <s v="Familia"/>
    <s v="Previsto"/>
    <m/>
    <s v="Media"/>
  </r>
  <r>
    <d v="2026-10-04T00:00:00"/>
    <d v="2026-10-04T00:00:00"/>
    <x v="2"/>
    <s v="DESPESA"/>
    <x v="5"/>
    <m/>
    <n v="634.75"/>
    <s v="Supermercado"/>
    <s v="Familia"/>
    <s v="Realizado"/>
    <s v="Compra do mes"/>
    <s v="Media"/>
  </r>
  <r>
    <d v="2026-10-05T00:00:00"/>
    <d v="2026-10-05T00:00:00"/>
    <x v="2"/>
    <s v="DESPESA"/>
    <x v="6"/>
    <m/>
    <n v="21.9"/>
    <s v="Streaming de musica"/>
    <s v="Familia"/>
    <s v="Realizado"/>
    <m/>
    <s v="Baixa"/>
  </r>
  <r>
    <d v="2026-10-05T00:00:00"/>
    <d v="2026-10-05T00:00:00"/>
    <x v="2"/>
    <s v="DESPESA"/>
    <x v="7"/>
    <m/>
    <n v="1150"/>
    <s v="Parcela financiamento veiculo"/>
    <s v="Alex Moreira"/>
    <s v="Realizado"/>
    <s v="Parcela fixa"/>
    <s v="Alta"/>
  </r>
  <r>
    <d v="2026-10-05T00:00:00"/>
    <d v="2026-10-05T00:00:00"/>
    <x v="2"/>
    <s v="DESPESA"/>
    <x v="6"/>
    <m/>
    <n v="55.9"/>
    <s v="Streaming de video"/>
    <s v="Familia"/>
    <s v="Realizado"/>
    <m/>
    <s v="Baixa"/>
  </r>
  <r>
    <d v="2026-10-05T00:00:00"/>
    <d v="2026-10-05T00:00:00"/>
    <x v="2"/>
    <s v="DESPESA"/>
    <x v="7"/>
    <m/>
    <n v="780"/>
    <s v="Parcela consignado"/>
    <s v="Alex Moreira"/>
    <s v="Realizado"/>
    <s v="Desconto em folha"/>
    <s v="Alta"/>
  </r>
  <r>
    <d v="2026-10-07T00:00:00"/>
    <d v="2026-10-07T00:00:00"/>
    <x v="2"/>
    <s v="DESPESA"/>
    <x v="8"/>
    <m/>
    <n v="318"/>
    <s v="Combustivel"/>
    <s v="Alex Moreira"/>
    <s v="Previsto"/>
    <m/>
    <s v="Media"/>
  </r>
  <r>
    <d v="2026-10-08T00:00:00"/>
    <d v="2026-10-08T00:00:00"/>
    <x v="2"/>
    <s v="DESPESA"/>
    <x v="10"/>
    <m/>
    <n v="689.9"/>
    <s v="Plano de saude"/>
    <s v="Familia"/>
    <s v="Previsto"/>
    <m/>
    <s v="Alta"/>
  </r>
  <r>
    <d v="2026-10-08T00:00:00"/>
    <d v="2026-10-08T00:00:00"/>
    <x v="2"/>
    <s v="DESPESA"/>
    <x v="9"/>
    <m/>
    <n v="185"/>
    <s v="Jantar fim de semana"/>
    <s v="Familia"/>
    <s v="Previsto"/>
    <m/>
    <s v="Baixa"/>
  </r>
  <r>
    <d v="2026-10-09T00:00:00"/>
    <d v="2026-10-09T00:00:00"/>
    <x v="2"/>
    <s v="DESPESA"/>
    <x v="6"/>
    <m/>
    <n v="14.9"/>
    <s v="Armazenamento em nuvem"/>
    <s v="Alex Moreira"/>
    <s v="Previsto"/>
    <m/>
    <s v="Baixa"/>
  </r>
  <r>
    <d v="2026-10-10T00:00:00"/>
    <d v="2026-10-10T00:00:00"/>
    <x v="2"/>
    <s v="DESPESA"/>
    <x v="13"/>
    <m/>
    <n v="785"/>
    <s v="Condominio"/>
    <s v="Familia"/>
    <s v="Previsto"/>
    <m/>
    <s v="Alta"/>
  </r>
  <r>
    <d v="2026-10-10T00:00:00"/>
    <d v="2026-10-10T00:00:00"/>
    <x v="2"/>
    <s v="DESPESA"/>
    <x v="12"/>
    <m/>
    <n v="3200"/>
    <s v="Aluguel"/>
    <s v="Familia"/>
    <s v="Previsto"/>
    <m/>
    <s v="Alta"/>
  </r>
  <r>
    <d v="2026-10-10T00:00:00"/>
    <d v="2026-10-10T00:00:00"/>
    <x v="2"/>
    <s v="DESPESA"/>
    <x v="11"/>
    <m/>
    <n v="380"/>
    <s v="Curso de ingles"/>
    <s v="Marina Souza"/>
    <s v="Previsto"/>
    <m/>
    <s v="Media"/>
  </r>
  <r>
    <d v="2026-10-12T00:00:00"/>
    <d v="2026-10-12T00:00:00"/>
    <x v="2"/>
    <s v="DESPESA"/>
    <x v="14"/>
    <m/>
    <n v="101.3"/>
    <s v="Conta de agua"/>
    <s v="Familia"/>
    <s v="Previsto"/>
    <m/>
    <s v="Alta"/>
  </r>
  <r>
    <d v="2026-10-13T00:00:00"/>
    <d v="2026-10-13T00:00:00"/>
    <x v="2"/>
    <s v="DESPESA"/>
    <x v="5"/>
    <m/>
    <n v="495.2"/>
    <s v="Supermercado"/>
    <s v="Familia"/>
    <s v="Previsto"/>
    <m/>
    <s v="Media"/>
  </r>
  <r>
    <d v="2026-10-14T00:00:00"/>
    <d v="2026-10-14T00:00:00"/>
    <x v="2"/>
    <s v="DESPESA"/>
    <x v="15"/>
    <m/>
    <n v="98"/>
    <s v="Cinema e passeios"/>
    <s v="Familia"/>
    <s v="Previsto"/>
    <m/>
    <s v="Baixa"/>
  </r>
  <r>
    <d v="2026-10-15T00:00:00"/>
    <d v="2026-10-15T00:00:00"/>
    <x v="2"/>
    <s v="DESPESA"/>
    <x v="16"/>
    <m/>
    <n v="249.9"/>
    <s v="Conta de energia"/>
    <s v="Familia"/>
    <s v="Previsto"/>
    <m/>
    <s v="Alta"/>
  </r>
  <r>
    <d v="2026-10-16T00:00:00"/>
    <d v="2026-10-16T00:00:00"/>
    <x v="2"/>
    <s v="DESPESA"/>
    <x v="8"/>
    <m/>
    <n v="86.4"/>
    <s v="Aplicativo de transporte"/>
    <s v="Marina Souza"/>
    <s v="Previsto"/>
    <m/>
    <s v="Baixa"/>
  </r>
  <r>
    <d v="2026-10-18T00:00:00"/>
    <d v="2026-10-18T00:00:00"/>
    <x v="2"/>
    <s v="DESPESA"/>
    <x v="17"/>
    <m/>
    <n v="59.9"/>
    <s v="Plano celular"/>
    <s v="Marina Souza"/>
    <s v="Previsto"/>
    <m/>
    <s v="Media"/>
  </r>
  <r>
    <d v="2026-10-18T00:00:00"/>
    <d v="2026-10-18T00:00:00"/>
    <x v="2"/>
    <s v="DESPESA"/>
    <x v="17"/>
    <m/>
    <n v="79.900000000000006"/>
    <s v="Plano celular"/>
    <s v="Alex Moreira"/>
    <s v="Previsto"/>
    <m/>
    <s v="Media"/>
  </r>
  <r>
    <d v="2026-10-19T00:00:00"/>
    <d v="2026-10-19T00:00:00"/>
    <x v="2"/>
    <s v="DESPESA"/>
    <x v="10"/>
    <m/>
    <n v="164.2"/>
    <s v="Farmacia"/>
    <s v="Familia"/>
    <s v="Previsto"/>
    <m/>
    <s v="Media"/>
  </r>
  <r>
    <d v="2026-10-20T00:00:00"/>
    <d v="2026-10-20T00:00:00"/>
    <x v="2"/>
    <s v="DESPESA"/>
    <x v="18"/>
    <m/>
    <n v="129.9"/>
    <s v="Internet fibra 500 Mb"/>
    <s v="Familia"/>
    <s v="Previsto"/>
    <m/>
    <s v="Media"/>
  </r>
  <r>
    <d v="2026-10-21T00:00:00"/>
    <d v="2026-10-21T00:00:00"/>
    <x v="2"/>
    <s v="DESPESA"/>
    <x v="9"/>
    <m/>
    <n v="240"/>
    <s v="Almoco em familia"/>
    <s v="Familia"/>
    <s v="Previsto"/>
    <m/>
    <s v="Baixa"/>
  </r>
  <r>
    <d v="2026-10-22T00:00:00"/>
    <d v="2026-10-22T00:00:00"/>
    <x v="2"/>
    <s v="DESPESA"/>
    <x v="8"/>
    <m/>
    <n v="301"/>
    <s v="Combustivel"/>
    <s v="Marina Souza"/>
    <s v="Previsto"/>
    <m/>
    <s v="Media"/>
  </r>
  <r>
    <d v="2026-10-24T00:00:00"/>
    <d v="2026-10-24T00:00:00"/>
    <x v="2"/>
    <s v="DESPESA"/>
    <x v="5"/>
    <m/>
    <n v="689.4"/>
    <s v="Supermercado"/>
    <s v="Familia"/>
    <s v="Previsto"/>
    <m/>
    <s v="Media"/>
  </r>
  <r>
    <d v="2026-10-25T00:00:00"/>
    <d v="2026-10-25T00:00:00"/>
    <x v="2"/>
    <s v="DESPESA"/>
    <x v="19"/>
    <m/>
    <n v="3261.8"/>
    <s v="Fatura do cartao"/>
    <s v="Familia"/>
    <s v="Previsto"/>
    <m/>
    <s v="Alta"/>
  </r>
  <r>
    <d v="2026-10-26T00:00:00"/>
    <d v="2026-10-26T00:00:00"/>
    <x v="2"/>
    <s v="DESPESA"/>
    <x v="15"/>
    <m/>
    <n v="240"/>
    <s v="Fim de semana"/>
    <s v="Familia"/>
    <s v="Previsto"/>
    <m/>
    <s v="Baix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d v="2026-08-05T00:00:00"/>
    <x v="0"/>
    <n v="46"/>
    <n v="1150"/>
    <n v="1.35"/>
    <n v="38000"/>
    <n v="31450"/>
    <x v="0"/>
  </r>
  <r>
    <d v="2026-08-05T00:00:00"/>
    <x v="0"/>
    <n v="59"/>
    <n v="780"/>
    <n v="1.7"/>
    <n v="28000"/>
    <n v="24300"/>
    <x v="1"/>
  </r>
  <r>
    <d v="2026-09-05T00:00:00"/>
    <x v="1"/>
    <n v="45"/>
    <n v="1150"/>
    <n v="1.35"/>
    <m/>
    <n v="30724"/>
    <x v="0"/>
  </r>
  <r>
    <d v="2026-09-05T00:00:00"/>
    <x v="1"/>
    <n v="58"/>
    <n v="780"/>
    <n v="1.7"/>
    <m/>
    <n v="23933"/>
    <x v="1"/>
  </r>
  <r>
    <d v="2026-10-05T00:00:00"/>
    <x v="2"/>
    <n v="44"/>
    <n v="1150"/>
    <n v="1.35"/>
    <m/>
    <n v="29989"/>
    <x v="0"/>
  </r>
  <r>
    <d v="2026-10-05T00:00:00"/>
    <x v="2"/>
    <n v="57"/>
    <n v="780"/>
    <n v="1.7"/>
    <m/>
    <n v="23560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">
  <r>
    <d v="2026-08-05T00:00:00"/>
    <d v="2026-08-05T00:00:00"/>
    <x v="0"/>
    <x v="0"/>
    <x v="0"/>
    <n v="5600"/>
    <m/>
    <s v="Salario mensal"/>
    <s v="Marina Souza"/>
    <x v="0"/>
    <m/>
    <s v="Alta"/>
  </r>
  <r>
    <d v="2026-08-05T00:00:00"/>
    <d v="2026-08-05T00:00:00"/>
    <x v="0"/>
    <x v="0"/>
    <x v="0"/>
    <n v="9800"/>
    <m/>
    <s v="Salario mensal"/>
    <s v="Alex Moreira"/>
    <x v="0"/>
    <m/>
    <s v="Alta"/>
  </r>
  <r>
    <d v="2026-08-15T00:00:00"/>
    <d v="2026-08-15T00:00:00"/>
    <x v="0"/>
    <x v="0"/>
    <x v="1"/>
    <n v="2500"/>
    <m/>
    <s v="Bonus semestral"/>
    <s v="Alex Moreira"/>
    <x v="0"/>
    <s v="Valor liquido"/>
    <s v="Media"/>
  </r>
  <r>
    <d v="2026-08-18T00:00:00"/>
    <d v="2026-08-20T00:00:00"/>
    <x v="0"/>
    <x v="0"/>
    <x v="2"/>
    <n v="1450"/>
    <m/>
    <s v="Projeto freelance"/>
    <s v="Alex Moreira"/>
    <x v="0"/>
    <m/>
    <s v="Media"/>
  </r>
  <r>
    <d v="2026-08-28T00:00:00"/>
    <d v="2026-08-28T00:00:00"/>
    <x v="0"/>
    <x v="0"/>
    <x v="3"/>
    <n v="312.39999999999998"/>
    <m/>
    <s v="Rendimentos da carteira"/>
    <s v="Familia"/>
    <x v="0"/>
    <m/>
    <s v="Baixa"/>
  </r>
  <r>
    <d v="2026-08-06T00:00:00"/>
    <d v="2026-08-06T00:00:00"/>
    <x v="0"/>
    <x v="1"/>
    <x v="4"/>
    <m/>
    <n v="1000"/>
    <s v="Aporte mensal - renda fixa"/>
    <s v="Alex Moreira"/>
    <x v="0"/>
    <m/>
    <s v="Media"/>
  </r>
  <r>
    <d v="2026-08-20T00:00:00"/>
    <d v="2026-08-20T00:00:00"/>
    <x v="0"/>
    <x v="1"/>
    <x v="4"/>
    <m/>
    <n v="500"/>
    <s v="Reserva de emergencia"/>
    <s v="Familia"/>
    <x v="0"/>
    <m/>
    <s v="Media"/>
  </r>
  <r>
    <d v="2026-08-04T00:00:00"/>
    <d v="2026-08-04T00:00:00"/>
    <x v="0"/>
    <x v="2"/>
    <x v="5"/>
    <m/>
    <n v="612.29999999999995"/>
    <s v="Supermercado"/>
    <s v="Familia"/>
    <x v="0"/>
    <s v="Compra do mes"/>
    <s v="Media"/>
  </r>
  <r>
    <d v="2026-08-05T00:00:00"/>
    <d v="2026-08-05T00:00:00"/>
    <x v="0"/>
    <x v="2"/>
    <x v="6"/>
    <m/>
    <n v="55.9"/>
    <s v="Streaming de video"/>
    <s v="Familia"/>
    <x v="0"/>
    <m/>
    <s v="Baixa"/>
  </r>
  <r>
    <d v="2026-08-05T00:00:00"/>
    <d v="2026-08-05T00:00:00"/>
    <x v="0"/>
    <x v="2"/>
    <x v="7"/>
    <m/>
    <n v="1150"/>
    <s v="Parcela financiamento veiculo"/>
    <s v="Alex Moreira"/>
    <x v="0"/>
    <s v="Parcela fixa"/>
    <s v="Alta"/>
  </r>
  <r>
    <d v="2026-08-05T00:00:00"/>
    <d v="2026-08-05T00:00:00"/>
    <x v="0"/>
    <x v="2"/>
    <x v="7"/>
    <m/>
    <n v="780"/>
    <s v="Parcela consignado"/>
    <s v="Alex Moreira"/>
    <x v="0"/>
    <s v="Desconto em folha"/>
    <s v="Alta"/>
  </r>
  <r>
    <d v="2026-08-05T00:00:00"/>
    <d v="2026-08-05T00:00:00"/>
    <x v="0"/>
    <x v="2"/>
    <x v="6"/>
    <m/>
    <n v="21.9"/>
    <s v="Streaming de musica"/>
    <s v="Familia"/>
    <x v="0"/>
    <m/>
    <s v="Baixa"/>
  </r>
  <r>
    <d v="2026-08-07T00:00:00"/>
    <d v="2026-08-07T00:00:00"/>
    <x v="0"/>
    <x v="2"/>
    <x v="8"/>
    <m/>
    <n v="320"/>
    <s v="Combustivel"/>
    <s v="Alex Moreira"/>
    <x v="0"/>
    <m/>
    <s v="Media"/>
  </r>
  <r>
    <d v="2026-08-08T00:00:00"/>
    <d v="2026-08-08T00:00:00"/>
    <x v="0"/>
    <x v="2"/>
    <x v="9"/>
    <m/>
    <n v="185"/>
    <s v="Jantar fim de semana"/>
    <s v="Familia"/>
    <x v="0"/>
    <m/>
    <s v="Baixa"/>
  </r>
  <r>
    <d v="2026-08-08T00:00:00"/>
    <d v="2026-08-08T00:00:00"/>
    <x v="0"/>
    <x v="2"/>
    <x v="10"/>
    <m/>
    <n v="689.9"/>
    <s v="Plano de saude"/>
    <s v="Familia"/>
    <x v="0"/>
    <m/>
    <s v="Alta"/>
  </r>
  <r>
    <d v="2026-08-09T00:00:00"/>
    <d v="2026-08-09T00:00:00"/>
    <x v="0"/>
    <x v="2"/>
    <x v="6"/>
    <m/>
    <n v="14.9"/>
    <s v="Armazenamento em nuvem"/>
    <s v="Alex Moreira"/>
    <x v="0"/>
    <m/>
    <s v="Baixa"/>
  </r>
  <r>
    <d v="2026-08-10T00:00:00"/>
    <d v="2026-08-10T00:00:00"/>
    <x v="0"/>
    <x v="2"/>
    <x v="11"/>
    <m/>
    <n v="380"/>
    <s v="Curso de ingles"/>
    <s v="Marina Souza"/>
    <x v="0"/>
    <m/>
    <s v="Media"/>
  </r>
  <r>
    <d v="2026-08-10T00:00:00"/>
    <d v="2026-08-10T00:00:00"/>
    <x v="0"/>
    <x v="2"/>
    <x v="12"/>
    <m/>
    <n v="3200"/>
    <s v="Aluguel"/>
    <s v="Familia"/>
    <x v="0"/>
    <m/>
    <s v="Alta"/>
  </r>
  <r>
    <d v="2026-08-10T00:00:00"/>
    <d v="2026-08-10T00:00:00"/>
    <x v="0"/>
    <x v="2"/>
    <x v="13"/>
    <m/>
    <n v="785"/>
    <s v="Condominio"/>
    <s v="Familia"/>
    <x v="0"/>
    <m/>
    <s v="Alta"/>
  </r>
  <r>
    <d v="2026-08-12T00:00:00"/>
    <d v="2026-08-12T00:00:00"/>
    <x v="0"/>
    <x v="2"/>
    <x v="14"/>
    <m/>
    <n v="98.2"/>
    <s v="Conta de agua"/>
    <s v="Familia"/>
    <x v="0"/>
    <m/>
    <s v="Alta"/>
  </r>
  <r>
    <d v="2026-08-13T00:00:00"/>
    <d v="2026-08-13T00:00:00"/>
    <x v="0"/>
    <x v="2"/>
    <x v="5"/>
    <m/>
    <n v="478.55"/>
    <s v="Supermercado"/>
    <s v="Familia"/>
    <x v="0"/>
    <m/>
    <s v="Media"/>
  </r>
  <r>
    <d v="2026-08-14T00:00:00"/>
    <d v="2026-08-14T00:00:00"/>
    <x v="0"/>
    <x v="2"/>
    <x v="15"/>
    <m/>
    <n v="129"/>
    <s v="Cinema e passeios"/>
    <s v="Familia"/>
    <x v="0"/>
    <m/>
    <s v="Baixa"/>
  </r>
  <r>
    <d v="2026-08-15T00:00:00"/>
    <d v="2026-08-15T00:00:00"/>
    <x v="0"/>
    <x v="2"/>
    <x v="16"/>
    <m/>
    <n v="238.4"/>
    <s v="Conta de energia"/>
    <s v="Familia"/>
    <x v="0"/>
    <m/>
    <s v="Alta"/>
  </r>
  <r>
    <d v="2026-08-16T00:00:00"/>
    <d v="2026-08-16T00:00:00"/>
    <x v="0"/>
    <x v="2"/>
    <x v="8"/>
    <m/>
    <n v="86.4"/>
    <s v="Aplicativo de transporte"/>
    <s v="Marina Souza"/>
    <x v="0"/>
    <m/>
    <s v="Baixa"/>
  </r>
  <r>
    <d v="2026-08-18T00:00:00"/>
    <d v="2026-08-18T00:00:00"/>
    <x v="0"/>
    <x v="2"/>
    <x v="17"/>
    <m/>
    <n v="79.900000000000006"/>
    <s v="Plano celular"/>
    <s v="Alex Moreira"/>
    <x v="0"/>
    <m/>
    <s v="Media"/>
  </r>
  <r>
    <d v="2026-08-18T00:00:00"/>
    <d v="2026-08-18T00:00:00"/>
    <x v="0"/>
    <x v="2"/>
    <x v="17"/>
    <m/>
    <n v="59.9"/>
    <s v="Plano celular"/>
    <s v="Marina Souza"/>
    <x v="0"/>
    <m/>
    <s v="Media"/>
  </r>
  <r>
    <d v="2026-08-19T00:00:00"/>
    <d v="2026-08-19T00:00:00"/>
    <x v="0"/>
    <x v="2"/>
    <x v="10"/>
    <m/>
    <n v="142.30000000000001"/>
    <s v="Farmacia"/>
    <s v="Familia"/>
    <x v="0"/>
    <m/>
    <s v="Media"/>
  </r>
  <r>
    <d v="2026-08-20T00:00:00"/>
    <d v="2026-08-20T00:00:00"/>
    <x v="0"/>
    <x v="2"/>
    <x v="18"/>
    <m/>
    <n v="129.9"/>
    <s v="Internet fibra 500 Mb"/>
    <s v="Familia"/>
    <x v="0"/>
    <m/>
    <s v="Media"/>
  </r>
  <r>
    <d v="2026-08-21T00:00:00"/>
    <d v="2026-08-21T00:00:00"/>
    <x v="0"/>
    <x v="2"/>
    <x v="9"/>
    <m/>
    <n v="240"/>
    <s v="Almoco em familia"/>
    <s v="Familia"/>
    <x v="0"/>
    <m/>
    <s v="Baixa"/>
  </r>
  <r>
    <d v="2026-08-22T00:00:00"/>
    <d v="2026-08-22T00:00:00"/>
    <x v="0"/>
    <x v="2"/>
    <x v="8"/>
    <m/>
    <n v="290"/>
    <s v="Combustivel"/>
    <s v="Marina Souza"/>
    <x v="0"/>
    <m/>
    <s v="Media"/>
  </r>
  <r>
    <d v="2026-08-24T00:00:00"/>
    <d v="2026-08-24T00:00:00"/>
    <x v="0"/>
    <x v="2"/>
    <x v="5"/>
    <m/>
    <n v="701.2"/>
    <s v="Supermercado"/>
    <s v="Familia"/>
    <x v="0"/>
    <m/>
    <s v="Media"/>
  </r>
  <r>
    <d v="2026-08-25T00:00:00"/>
    <d v="2026-08-25T00:00:00"/>
    <x v="0"/>
    <x v="2"/>
    <x v="19"/>
    <m/>
    <n v="3184.6"/>
    <s v="Fatura do cartao"/>
    <s v="Familia"/>
    <x v="0"/>
    <m/>
    <s v="Alta"/>
  </r>
  <r>
    <d v="2026-08-26T00:00:00"/>
    <d v="2026-08-26T00:00:00"/>
    <x v="0"/>
    <x v="2"/>
    <x v="15"/>
    <m/>
    <n v="210"/>
    <s v="Fim de semana"/>
    <s v="Familia"/>
    <x v="0"/>
    <m/>
    <s v="Baixa"/>
  </r>
  <r>
    <d v="2026-09-05T00:00:00"/>
    <d v="2026-09-05T00:00:00"/>
    <x v="1"/>
    <x v="0"/>
    <x v="0"/>
    <n v="5600"/>
    <m/>
    <s v="Salario mensal"/>
    <s v="Marina Souza"/>
    <x v="0"/>
    <m/>
    <s v="Alta"/>
  </r>
  <r>
    <d v="2026-09-05T00:00:00"/>
    <d v="2026-09-05T00:00:00"/>
    <x v="1"/>
    <x v="0"/>
    <x v="0"/>
    <n v="9800"/>
    <m/>
    <s v="Salario mensal"/>
    <s v="Alex Moreira"/>
    <x v="0"/>
    <m/>
    <s v="Alta"/>
  </r>
  <r>
    <d v="2026-09-18T00:00:00"/>
    <d v="2026-09-20T00:00:00"/>
    <x v="1"/>
    <x v="0"/>
    <x v="2"/>
    <n v="2100"/>
    <m/>
    <s v="Projeto freelance"/>
    <s v="Alex Moreira"/>
    <x v="0"/>
    <m/>
    <s v="Media"/>
  </r>
  <r>
    <d v="2026-09-28T00:00:00"/>
    <d v="2026-09-28T00:00:00"/>
    <x v="1"/>
    <x v="0"/>
    <x v="3"/>
    <n v="318.75"/>
    <m/>
    <s v="Rendimentos da carteira"/>
    <s v="Familia"/>
    <x v="0"/>
    <m/>
    <s v="Baixa"/>
  </r>
  <r>
    <d v="2026-09-06T00:00:00"/>
    <d v="2026-09-06T00:00:00"/>
    <x v="1"/>
    <x v="1"/>
    <x v="4"/>
    <m/>
    <n v="1000"/>
    <s v="Aporte mensal - renda fixa"/>
    <s v="Alex Moreira"/>
    <x v="0"/>
    <m/>
    <s v="Media"/>
  </r>
  <r>
    <d v="2026-09-20T00:00:00"/>
    <d v="2026-09-20T00:00:00"/>
    <x v="1"/>
    <x v="1"/>
    <x v="4"/>
    <m/>
    <n v="500"/>
    <s v="Reserva de emergencia"/>
    <s v="Familia"/>
    <x v="0"/>
    <m/>
    <s v="Media"/>
  </r>
  <r>
    <d v="2026-09-04T00:00:00"/>
    <d v="2026-09-04T00:00:00"/>
    <x v="1"/>
    <x v="2"/>
    <x v="5"/>
    <m/>
    <n v="588.4"/>
    <s v="Supermercado"/>
    <s v="Familia"/>
    <x v="0"/>
    <s v="Compra do mes"/>
    <s v="Media"/>
  </r>
  <r>
    <d v="2026-09-05T00:00:00"/>
    <d v="2026-09-05T00:00:00"/>
    <x v="1"/>
    <x v="2"/>
    <x v="7"/>
    <m/>
    <n v="1150"/>
    <s v="Parcela financiamento veiculo"/>
    <s v="Alex Moreira"/>
    <x v="0"/>
    <s v="Parcela fixa"/>
    <s v="Alta"/>
  </r>
  <r>
    <d v="2026-09-05T00:00:00"/>
    <d v="2026-09-05T00:00:00"/>
    <x v="1"/>
    <x v="2"/>
    <x v="7"/>
    <m/>
    <n v="780"/>
    <s v="Parcela consignado"/>
    <s v="Alex Moreira"/>
    <x v="0"/>
    <s v="Desconto em folha"/>
    <s v="Alta"/>
  </r>
  <r>
    <d v="2026-09-05T00:00:00"/>
    <d v="2026-09-05T00:00:00"/>
    <x v="1"/>
    <x v="2"/>
    <x v="6"/>
    <m/>
    <n v="55.9"/>
    <s v="Streaming de video"/>
    <s v="Familia"/>
    <x v="0"/>
    <m/>
    <s v="Baixa"/>
  </r>
  <r>
    <d v="2026-09-05T00:00:00"/>
    <d v="2026-09-05T00:00:00"/>
    <x v="1"/>
    <x v="2"/>
    <x v="6"/>
    <m/>
    <n v="21.9"/>
    <s v="Streaming de musica"/>
    <s v="Familia"/>
    <x v="0"/>
    <m/>
    <s v="Baixa"/>
  </r>
  <r>
    <d v="2026-09-07T00:00:00"/>
    <d v="2026-09-07T00:00:00"/>
    <x v="1"/>
    <x v="2"/>
    <x v="8"/>
    <m/>
    <n v="335"/>
    <s v="Combustivel"/>
    <s v="Alex Moreira"/>
    <x v="0"/>
    <m/>
    <s v="Media"/>
  </r>
  <r>
    <d v="2026-09-08T00:00:00"/>
    <d v="2026-09-08T00:00:00"/>
    <x v="1"/>
    <x v="2"/>
    <x v="10"/>
    <m/>
    <n v="689.9"/>
    <s v="Plano de saude"/>
    <s v="Familia"/>
    <x v="0"/>
    <m/>
    <s v="Alta"/>
  </r>
  <r>
    <d v="2026-09-08T00:00:00"/>
    <d v="2026-09-08T00:00:00"/>
    <x v="1"/>
    <x v="2"/>
    <x v="9"/>
    <m/>
    <n v="185"/>
    <s v="Jantar fim de semana"/>
    <s v="Familia"/>
    <x v="0"/>
    <m/>
    <s v="Baixa"/>
  </r>
  <r>
    <d v="2026-09-09T00:00:00"/>
    <d v="2026-09-09T00:00:00"/>
    <x v="1"/>
    <x v="2"/>
    <x v="6"/>
    <m/>
    <n v="14.9"/>
    <s v="Armazenamento em nuvem"/>
    <s v="Alex Moreira"/>
    <x v="0"/>
    <m/>
    <s v="Baixa"/>
  </r>
  <r>
    <d v="2026-09-10T00:00:00"/>
    <d v="2026-09-10T00:00:00"/>
    <x v="1"/>
    <x v="2"/>
    <x v="11"/>
    <m/>
    <n v="380"/>
    <s v="Curso de ingles"/>
    <s v="Marina Souza"/>
    <x v="0"/>
    <m/>
    <s v="Media"/>
  </r>
  <r>
    <d v="2026-09-10T00:00:00"/>
    <d v="2026-09-10T00:00:00"/>
    <x v="1"/>
    <x v="2"/>
    <x v="13"/>
    <m/>
    <n v="785"/>
    <s v="Condominio"/>
    <s v="Familia"/>
    <x v="0"/>
    <m/>
    <s v="Alta"/>
  </r>
  <r>
    <d v="2026-09-10T00:00:00"/>
    <d v="2026-09-10T00:00:00"/>
    <x v="1"/>
    <x v="2"/>
    <x v="12"/>
    <m/>
    <n v="3200"/>
    <s v="Aluguel"/>
    <s v="Familia"/>
    <x v="0"/>
    <m/>
    <s v="Alta"/>
  </r>
  <r>
    <d v="2026-09-12T00:00:00"/>
    <d v="2026-09-12T00:00:00"/>
    <x v="1"/>
    <x v="2"/>
    <x v="14"/>
    <m/>
    <n v="104.6"/>
    <s v="Conta de agua"/>
    <s v="Familia"/>
    <x v="0"/>
    <m/>
    <s v="Alta"/>
  </r>
  <r>
    <d v="2026-09-13T00:00:00"/>
    <d v="2026-09-13T00:00:00"/>
    <x v="1"/>
    <x v="2"/>
    <x v="5"/>
    <m/>
    <n v="512.1"/>
    <s v="Supermercado"/>
    <s v="Familia"/>
    <x v="0"/>
    <m/>
    <s v="Media"/>
  </r>
  <r>
    <d v="2026-09-14T00:00:00"/>
    <d v="2026-09-14T00:00:00"/>
    <x v="1"/>
    <x v="2"/>
    <x v="15"/>
    <m/>
    <n v="189.9"/>
    <s v="Cinema e passeios"/>
    <s v="Familia"/>
    <x v="0"/>
    <m/>
    <s v="Baixa"/>
  </r>
  <r>
    <d v="2026-09-15T00:00:00"/>
    <d v="2026-09-15T00:00:00"/>
    <x v="1"/>
    <x v="2"/>
    <x v="16"/>
    <m/>
    <n v="261.14999999999998"/>
    <s v="Conta de energia"/>
    <s v="Familia"/>
    <x v="0"/>
    <m/>
    <s v="Alta"/>
  </r>
  <r>
    <d v="2026-09-16T00:00:00"/>
    <d v="2026-09-16T00:00:00"/>
    <x v="1"/>
    <x v="2"/>
    <x v="8"/>
    <m/>
    <n v="86.4"/>
    <s v="Aplicativo de transporte"/>
    <s v="Marina Souza"/>
    <x v="0"/>
    <m/>
    <s v="Baixa"/>
  </r>
  <r>
    <d v="2026-09-18T00:00:00"/>
    <d v="2026-09-18T00:00:00"/>
    <x v="1"/>
    <x v="2"/>
    <x v="17"/>
    <m/>
    <n v="59.9"/>
    <s v="Plano celular"/>
    <s v="Marina Souza"/>
    <x v="0"/>
    <m/>
    <s v="Media"/>
  </r>
  <r>
    <d v="2026-09-18T00:00:00"/>
    <d v="2026-09-18T00:00:00"/>
    <x v="1"/>
    <x v="2"/>
    <x v="17"/>
    <m/>
    <n v="79.900000000000006"/>
    <s v="Plano celular"/>
    <s v="Alex Moreira"/>
    <x v="0"/>
    <m/>
    <s v="Media"/>
  </r>
  <r>
    <d v="2026-09-19T00:00:00"/>
    <d v="2026-09-19T00:00:00"/>
    <x v="1"/>
    <x v="2"/>
    <x v="10"/>
    <m/>
    <n v="87.9"/>
    <s v="Farmacia"/>
    <s v="Familia"/>
    <x v="0"/>
    <m/>
    <s v="Media"/>
  </r>
  <r>
    <d v="2026-09-20T00:00:00"/>
    <d v="2026-09-20T00:00:00"/>
    <x v="1"/>
    <x v="2"/>
    <x v="18"/>
    <m/>
    <n v="129.9"/>
    <s v="Internet fibra 500 Mb"/>
    <s v="Familia"/>
    <x v="0"/>
    <m/>
    <s v="Media"/>
  </r>
  <r>
    <d v="2026-09-21T00:00:00"/>
    <d v="2026-09-21T00:00:00"/>
    <x v="1"/>
    <x v="2"/>
    <x v="9"/>
    <m/>
    <n v="240"/>
    <s v="Almoco em familia"/>
    <s v="Familia"/>
    <x v="0"/>
    <m/>
    <s v="Baixa"/>
  </r>
  <r>
    <d v="2026-09-22T00:00:00"/>
    <d v="2026-09-22T00:00:00"/>
    <x v="1"/>
    <x v="2"/>
    <x v="8"/>
    <m/>
    <n v="284"/>
    <s v="Combustivel"/>
    <s v="Marina Souza"/>
    <x v="0"/>
    <m/>
    <s v="Media"/>
  </r>
  <r>
    <d v="2026-09-24T00:00:00"/>
    <d v="2026-09-24T00:00:00"/>
    <x v="1"/>
    <x v="2"/>
    <x v="5"/>
    <m/>
    <n v="655.85"/>
    <s v="Supermercado"/>
    <s v="Familia"/>
    <x v="0"/>
    <m/>
    <s v="Media"/>
  </r>
  <r>
    <d v="2026-09-25T00:00:00"/>
    <d v="2026-09-25T00:00:00"/>
    <x v="1"/>
    <x v="2"/>
    <x v="19"/>
    <m/>
    <n v="3402.15"/>
    <s v="Fatura do cartao"/>
    <s v="Familia"/>
    <x v="0"/>
    <m/>
    <s v="Alta"/>
  </r>
  <r>
    <d v="2026-09-26T00:00:00"/>
    <d v="2026-09-26T00:00:00"/>
    <x v="1"/>
    <x v="2"/>
    <x v="15"/>
    <m/>
    <n v="175.5"/>
    <s v="Fim de semana"/>
    <s v="Familia"/>
    <x v="0"/>
    <m/>
    <s v="Baixa"/>
  </r>
  <r>
    <d v="2026-10-05T00:00:00"/>
    <d v="2026-10-05T00:00:00"/>
    <x v="2"/>
    <x v="0"/>
    <x v="0"/>
    <n v="5600"/>
    <m/>
    <s v="Salario mensal"/>
    <s v="Marina Souza"/>
    <x v="0"/>
    <m/>
    <s v="Alta"/>
  </r>
  <r>
    <d v="2026-10-05T00:00:00"/>
    <d v="2026-10-05T00:00:00"/>
    <x v="2"/>
    <x v="0"/>
    <x v="0"/>
    <n v="9800"/>
    <m/>
    <s v="Salario mensal"/>
    <s v="Alex Moreira"/>
    <x v="0"/>
    <m/>
    <s v="Alta"/>
  </r>
  <r>
    <d v="2026-10-18T00:00:00"/>
    <d v="2026-10-20T00:00:00"/>
    <x v="2"/>
    <x v="0"/>
    <x v="2"/>
    <n v="1800"/>
    <m/>
    <s v="Projeto freelance"/>
    <s v="Alex Moreira"/>
    <x v="1"/>
    <m/>
    <s v="Media"/>
  </r>
  <r>
    <d v="2026-10-28T00:00:00"/>
    <d v="2026-10-28T00:00:00"/>
    <x v="2"/>
    <x v="0"/>
    <x v="3"/>
    <n v="325.10000000000002"/>
    <m/>
    <s v="Rendimentos da carteira"/>
    <s v="Familia"/>
    <x v="1"/>
    <m/>
    <s v="Baixa"/>
  </r>
  <r>
    <d v="2026-10-06T00:00:00"/>
    <d v="2026-10-06T00:00:00"/>
    <x v="2"/>
    <x v="1"/>
    <x v="4"/>
    <m/>
    <n v="1000"/>
    <s v="Aporte mensal - renda fixa"/>
    <s v="Alex Moreira"/>
    <x v="1"/>
    <m/>
    <s v="Media"/>
  </r>
  <r>
    <d v="2026-10-20T00:00:00"/>
    <d v="2026-10-20T00:00:00"/>
    <x v="2"/>
    <x v="1"/>
    <x v="4"/>
    <m/>
    <n v="500"/>
    <s v="Reserva de emergencia"/>
    <s v="Familia"/>
    <x v="1"/>
    <m/>
    <s v="Media"/>
  </r>
  <r>
    <d v="2026-10-04T00:00:00"/>
    <d v="2026-10-04T00:00:00"/>
    <x v="2"/>
    <x v="2"/>
    <x v="5"/>
    <m/>
    <n v="634.75"/>
    <s v="Supermercado"/>
    <s v="Familia"/>
    <x v="0"/>
    <s v="Compra do mes"/>
    <s v="Media"/>
  </r>
  <r>
    <d v="2026-10-05T00:00:00"/>
    <d v="2026-10-05T00:00:00"/>
    <x v="2"/>
    <x v="2"/>
    <x v="6"/>
    <m/>
    <n v="21.9"/>
    <s v="Streaming de musica"/>
    <s v="Familia"/>
    <x v="0"/>
    <m/>
    <s v="Baixa"/>
  </r>
  <r>
    <d v="2026-10-05T00:00:00"/>
    <d v="2026-10-05T00:00:00"/>
    <x v="2"/>
    <x v="2"/>
    <x v="7"/>
    <m/>
    <n v="1150"/>
    <s v="Parcela financiamento veiculo"/>
    <s v="Alex Moreira"/>
    <x v="0"/>
    <s v="Parcela fixa"/>
    <s v="Alta"/>
  </r>
  <r>
    <d v="2026-10-05T00:00:00"/>
    <d v="2026-10-05T00:00:00"/>
    <x v="2"/>
    <x v="2"/>
    <x v="6"/>
    <m/>
    <n v="55.9"/>
    <s v="Streaming de video"/>
    <s v="Familia"/>
    <x v="0"/>
    <m/>
    <s v="Baixa"/>
  </r>
  <r>
    <d v="2026-10-05T00:00:00"/>
    <d v="2026-10-05T00:00:00"/>
    <x v="2"/>
    <x v="2"/>
    <x v="7"/>
    <m/>
    <n v="780"/>
    <s v="Parcela consignado"/>
    <s v="Alex Moreira"/>
    <x v="0"/>
    <s v="Desconto em folha"/>
    <s v="Alta"/>
  </r>
  <r>
    <d v="2026-10-07T00:00:00"/>
    <d v="2026-10-07T00:00:00"/>
    <x v="2"/>
    <x v="2"/>
    <x v="8"/>
    <m/>
    <n v="318"/>
    <s v="Combustivel"/>
    <s v="Alex Moreira"/>
    <x v="1"/>
    <m/>
    <s v="Media"/>
  </r>
  <r>
    <d v="2026-10-08T00:00:00"/>
    <d v="2026-10-08T00:00:00"/>
    <x v="2"/>
    <x v="2"/>
    <x v="10"/>
    <m/>
    <n v="689.9"/>
    <s v="Plano de saude"/>
    <s v="Familia"/>
    <x v="1"/>
    <m/>
    <s v="Alta"/>
  </r>
  <r>
    <d v="2026-10-08T00:00:00"/>
    <d v="2026-10-08T00:00:00"/>
    <x v="2"/>
    <x v="2"/>
    <x v="9"/>
    <m/>
    <n v="185"/>
    <s v="Jantar fim de semana"/>
    <s v="Familia"/>
    <x v="1"/>
    <m/>
    <s v="Baixa"/>
  </r>
  <r>
    <d v="2026-10-09T00:00:00"/>
    <d v="2026-10-09T00:00:00"/>
    <x v="2"/>
    <x v="2"/>
    <x v="6"/>
    <m/>
    <n v="14.9"/>
    <s v="Armazenamento em nuvem"/>
    <s v="Alex Moreira"/>
    <x v="1"/>
    <m/>
    <s v="Baixa"/>
  </r>
  <r>
    <d v="2026-10-10T00:00:00"/>
    <d v="2026-10-10T00:00:00"/>
    <x v="2"/>
    <x v="2"/>
    <x v="13"/>
    <m/>
    <n v="785"/>
    <s v="Condominio"/>
    <s v="Familia"/>
    <x v="1"/>
    <m/>
    <s v="Alta"/>
  </r>
  <r>
    <d v="2026-10-10T00:00:00"/>
    <d v="2026-10-10T00:00:00"/>
    <x v="2"/>
    <x v="2"/>
    <x v="12"/>
    <m/>
    <n v="3200"/>
    <s v="Aluguel"/>
    <s v="Familia"/>
    <x v="1"/>
    <m/>
    <s v="Alta"/>
  </r>
  <r>
    <d v="2026-10-10T00:00:00"/>
    <d v="2026-10-10T00:00:00"/>
    <x v="2"/>
    <x v="2"/>
    <x v="11"/>
    <m/>
    <n v="380"/>
    <s v="Curso de ingles"/>
    <s v="Marina Souza"/>
    <x v="1"/>
    <m/>
    <s v="Media"/>
  </r>
  <r>
    <d v="2026-10-12T00:00:00"/>
    <d v="2026-10-12T00:00:00"/>
    <x v="2"/>
    <x v="2"/>
    <x v="14"/>
    <m/>
    <n v="101.3"/>
    <s v="Conta de agua"/>
    <s v="Familia"/>
    <x v="1"/>
    <m/>
    <s v="Alta"/>
  </r>
  <r>
    <d v="2026-10-13T00:00:00"/>
    <d v="2026-10-13T00:00:00"/>
    <x v="2"/>
    <x v="2"/>
    <x v="5"/>
    <m/>
    <n v="495.2"/>
    <s v="Supermercado"/>
    <s v="Familia"/>
    <x v="1"/>
    <m/>
    <s v="Media"/>
  </r>
  <r>
    <d v="2026-10-14T00:00:00"/>
    <d v="2026-10-14T00:00:00"/>
    <x v="2"/>
    <x v="2"/>
    <x v="15"/>
    <m/>
    <n v="98"/>
    <s v="Cinema e passeios"/>
    <s v="Familia"/>
    <x v="1"/>
    <m/>
    <s v="Baixa"/>
  </r>
  <r>
    <d v="2026-10-15T00:00:00"/>
    <d v="2026-10-15T00:00:00"/>
    <x v="2"/>
    <x v="2"/>
    <x v="16"/>
    <m/>
    <n v="249.9"/>
    <s v="Conta de energia"/>
    <s v="Familia"/>
    <x v="1"/>
    <m/>
    <s v="Alta"/>
  </r>
  <r>
    <d v="2026-10-16T00:00:00"/>
    <d v="2026-10-16T00:00:00"/>
    <x v="2"/>
    <x v="2"/>
    <x v="8"/>
    <m/>
    <n v="86.4"/>
    <s v="Aplicativo de transporte"/>
    <s v="Marina Souza"/>
    <x v="1"/>
    <m/>
    <s v="Baixa"/>
  </r>
  <r>
    <d v="2026-10-18T00:00:00"/>
    <d v="2026-10-18T00:00:00"/>
    <x v="2"/>
    <x v="2"/>
    <x v="17"/>
    <m/>
    <n v="59.9"/>
    <s v="Plano celular"/>
    <s v="Marina Souza"/>
    <x v="1"/>
    <m/>
    <s v="Media"/>
  </r>
  <r>
    <d v="2026-10-18T00:00:00"/>
    <d v="2026-10-18T00:00:00"/>
    <x v="2"/>
    <x v="2"/>
    <x v="17"/>
    <m/>
    <n v="79.900000000000006"/>
    <s v="Plano celular"/>
    <s v="Alex Moreira"/>
    <x v="1"/>
    <m/>
    <s v="Media"/>
  </r>
  <r>
    <d v="2026-10-19T00:00:00"/>
    <d v="2026-10-19T00:00:00"/>
    <x v="2"/>
    <x v="2"/>
    <x v="10"/>
    <m/>
    <n v="164.2"/>
    <s v="Farmacia"/>
    <s v="Familia"/>
    <x v="1"/>
    <m/>
    <s v="Media"/>
  </r>
  <r>
    <d v="2026-10-20T00:00:00"/>
    <d v="2026-10-20T00:00:00"/>
    <x v="2"/>
    <x v="2"/>
    <x v="18"/>
    <m/>
    <n v="129.9"/>
    <s v="Internet fibra 500 Mb"/>
    <s v="Familia"/>
    <x v="1"/>
    <m/>
    <s v="Media"/>
  </r>
  <r>
    <d v="2026-10-21T00:00:00"/>
    <d v="2026-10-21T00:00:00"/>
    <x v="2"/>
    <x v="2"/>
    <x v="9"/>
    <m/>
    <n v="240"/>
    <s v="Almoco em familia"/>
    <s v="Familia"/>
    <x v="1"/>
    <m/>
    <s v="Baixa"/>
  </r>
  <r>
    <d v="2026-10-22T00:00:00"/>
    <d v="2026-10-22T00:00:00"/>
    <x v="2"/>
    <x v="2"/>
    <x v="8"/>
    <m/>
    <n v="301"/>
    <s v="Combustivel"/>
    <s v="Marina Souza"/>
    <x v="1"/>
    <m/>
    <s v="Media"/>
  </r>
  <r>
    <d v="2026-10-24T00:00:00"/>
    <d v="2026-10-24T00:00:00"/>
    <x v="2"/>
    <x v="2"/>
    <x v="5"/>
    <m/>
    <n v="689.4"/>
    <s v="Supermercado"/>
    <s v="Familia"/>
    <x v="1"/>
    <m/>
    <s v="Media"/>
  </r>
  <r>
    <d v="2026-10-25T00:00:00"/>
    <d v="2026-10-25T00:00:00"/>
    <x v="2"/>
    <x v="2"/>
    <x v="19"/>
    <m/>
    <n v="3261.8"/>
    <s v="Fatura do cartao"/>
    <s v="Familia"/>
    <x v="1"/>
    <m/>
    <s v="Alta"/>
  </r>
  <r>
    <d v="2026-10-26T00:00:00"/>
    <d v="2026-10-26T00:00:00"/>
    <x v="2"/>
    <x v="2"/>
    <x v="15"/>
    <m/>
    <n v="240"/>
    <s v="Fim de semana"/>
    <s v="Familia"/>
    <x v="1"/>
    <m/>
    <s v="Baix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ACE8C1-9A41-41A0-9AFB-ECD3EE8D02CB}" name="Tabela dinâmica8" cacheId="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A51:AD56" firstHeaderRow="1" firstDataRow="2" firstDataCol="1"/>
  <pivotFields count="15">
    <pivotField numFmtId="14" showAll="0"/>
    <pivotField numFmtId="14" showAll="0"/>
    <pivotField axis="axisRow" numFmtId="17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Soma de VlrDespesa" fld="6" baseField="0" baseItem="0" numFmtId="166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E8332F-5F6D-43D7-9E01-C216A8FE8B56}" name="Tabela dinâmica5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9:G13" firstHeaderRow="1" firstDataRow="1" firstDataCol="1"/>
  <pivotFields count="15">
    <pivotField numFmtId="14" showAll="0"/>
    <pivotField numFmtId="14" showAll="0"/>
    <pivotField axis="axisRow" numFmtId="17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lrDespesa" fld="6" baseField="0" baseItem="0" numFmtId="165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A3E2BC-F782-42E6-ADBB-548F2A4A25F4}" name="Tabela dinâmica6" cacheId="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J9:M13" firstHeaderRow="0" firstDataRow="1" firstDataCol="1"/>
  <pivotFields count="15">
    <pivotField numFmtId="14" showAll="0"/>
    <pivotField numFmtId="14" showAll="0"/>
    <pivotField axis="axisRow" numFmtId="17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VlrReceita" fld="5" baseField="0" baseItem="0"/>
    <dataField name="Soma de VlrDespesa" fld="6" baseField="0" baseItem="0"/>
    <dataField name="Soma de Saldo" fld="12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63A945-0D8D-4EF5-AAB2-66ED5AE329EA}" name="Tabela dinâmica7" cacheId="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A8:AD13" firstHeaderRow="1" firstDataRow="2" firstDataCol="1"/>
  <pivotFields count="15">
    <pivotField numFmtId="14" showAll="0"/>
    <pivotField numFmtId="14" showAll="0"/>
    <pivotField axis="axisRow" numFmtId="17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Soma de VlrReceita" fld="5" baseField="0" baseItem="0" numFmtId="166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E527B-4926-4B21-BBA7-E86D38A70B5F}" name="Tabela dinâmica14" cacheId="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X8:Y24" firstHeaderRow="1" firstDataRow="1" firstDataCol="1" rowPageCount="1" colPageCount="1"/>
  <pivotFields count="15">
    <pivotField numFmtId="14" showAll="0"/>
    <pivotField numFmtId="14" showAll="0"/>
    <pivotField numFmtId="17" showAll="0">
      <items count="4">
        <item x="0"/>
        <item x="1"/>
        <item x="2"/>
        <item t="default"/>
      </items>
    </pivotField>
    <pivotField axis="axisPage" showAll="0">
      <items count="4">
        <item x="2"/>
        <item x="0"/>
        <item x="1"/>
        <item t="default"/>
      </items>
    </pivotField>
    <pivotField axis="axisRow" showAll="0" sortType="ascending">
      <items count="21">
        <item x="6"/>
        <item x="19"/>
        <item x="17"/>
        <item x="13"/>
        <item x="14"/>
        <item x="18"/>
        <item x="2"/>
        <item x="0"/>
        <item x="4"/>
        <item x="16"/>
        <item x="1"/>
        <item x="3"/>
        <item x="5"/>
        <item x="7"/>
        <item x="8"/>
        <item x="9"/>
        <item x="10"/>
        <item x="11"/>
        <item x="12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4"/>
  </rowFields>
  <rowItems count="16">
    <i>
      <x/>
    </i>
    <i>
      <x v="4"/>
    </i>
    <i>
      <x v="5"/>
    </i>
    <i>
      <x v="2"/>
    </i>
    <i>
      <x v="9"/>
    </i>
    <i>
      <x v="19"/>
    </i>
    <i>
      <x v="17"/>
    </i>
    <i>
      <x v="15"/>
    </i>
    <i>
      <x v="14"/>
    </i>
    <i>
      <x v="3"/>
    </i>
    <i>
      <x v="16"/>
    </i>
    <i>
      <x v="12"/>
    </i>
    <i>
      <x v="13"/>
    </i>
    <i>
      <x v="18"/>
    </i>
    <i>
      <x v="1"/>
    </i>
    <i t="grand">
      <x/>
    </i>
  </rowItems>
  <colItems count="1">
    <i/>
  </colItems>
  <pageFields count="1">
    <pageField fld="3" item="0" hier="-1"/>
  </pageFields>
  <dataFields count="1">
    <dataField name="Soma de VlrDespesa" fld="6" baseField="0" baseItem="0" numFmtId="166"/>
  </dataFields>
  <formats count="1">
    <format dxfId="4">
      <pivotArea outline="0" collapsedLevelsAreSubtotals="1" fieldPosition="0"/>
    </format>
  </formats>
  <chartFormats count="8"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3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3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3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3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3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3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FC95FB-32B2-45D5-8F97-036A008FFD70}" name="Tabela dinâmica11" cacheId="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9">
  <location ref="P7:R12" firstHeaderRow="0" firstDataRow="1" firstDataCol="1" rowPageCount="1" colPageCount="1"/>
  <pivotFields count="15">
    <pivotField numFmtId="14" showAll="0"/>
    <pivotField numFmtId="14" showAll="0"/>
    <pivotField numFmtId="17" showAll="0">
      <items count="4">
        <item x="0"/>
        <item x="1"/>
        <item x="2"/>
        <item t="default"/>
      </items>
    </pivotField>
    <pivotField axis="axisPage" showAll="0">
      <items count="4">
        <item x="2"/>
        <item x="0"/>
        <item x="1"/>
        <item t="default"/>
      </items>
    </pivotField>
    <pivotField axis="axisRow" showAll="0">
      <items count="21">
        <item x="6"/>
        <item x="19"/>
        <item x="17"/>
        <item x="13"/>
        <item x="14"/>
        <item x="18"/>
        <item x="2"/>
        <item x="0"/>
        <item x="4"/>
        <item x="16"/>
        <item x="1"/>
        <item x="3"/>
        <item x="5"/>
        <item x="7"/>
        <item x="8"/>
        <item x="9"/>
        <item x="10"/>
        <item x="11"/>
        <item x="12"/>
        <item x="15"/>
        <item t="default"/>
      </items>
    </pivotField>
    <pivotField dataField="1" showAll="0"/>
    <pivotField showAll="0"/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4"/>
  </rowFields>
  <rowItems count="5">
    <i>
      <x v="6"/>
    </i>
    <i>
      <x v="7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pageFields count="1">
    <pageField fld="3" item="1" hier="-1"/>
  </pageFields>
  <dataFields count="2">
    <dataField name="Soma de VlrReceita" fld="5" baseField="0" baseItem="0"/>
    <dataField name="PercReceita" fld="13" showDataAs="percentOfTotal" baseField="4" baseItem="11" numFmtId="9"/>
  </dataFields>
  <formats count="4">
    <format dxfId="8">
      <pivotArea outline="0" collapsedLevelsAreSubtotals="1" fieldPosition="0"/>
    </format>
    <format dxfId="7">
      <pivotArea outline="0" fieldPosition="0">
        <references count="1">
          <reference field="4294967294" count="1">
            <x v="1"/>
          </reference>
        </references>
      </pivotArea>
    </format>
    <format dxfId="6">
      <pivotArea collapsedLevelsAreSubtotals="1" fieldPosition="0">
        <references count="1">
          <reference field="4" count="2">
            <x v="6"/>
            <x v="7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12"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7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9">
      <pivotArea type="data" outline="0" fieldPosition="0">
        <references count="2">
          <reference field="4294967294" count="1" selected="0">
            <x v="1"/>
          </reference>
          <reference field="4" count="1" selected="0">
            <x v="6"/>
          </reference>
        </references>
      </pivotArea>
    </chartFormat>
    <chartFormat chart="7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7" format="24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7" format="25">
      <pivotArea type="data" outline="0" fieldPosition="0">
        <references count="2">
          <reference field="4294967294" count="1" selected="0">
            <x v="1"/>
          </reference>
          <reference field="4" count="1" selected="0">
            <x v="10"/>
          </reference>
        </references>
      </pivotArea>
    </chartFormat>
    <chartFormat chart="7" format="2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28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7" format="29">
      <pivotArea type="data" outline="0" fieldPosition="0">
        <references count="2">
          <reference field="4294967294" count="1" selected="0">
            <x v="1"/>
          </reference>
          <reference field="4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405DA9-F794-409E-ACE3-9B510684F740}" name="Tabela dinâmica2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4">
  <location ref="AN8:AO12" firstHeaderRow="1" firstDataRow="1" firstDataCol="1" rowPageCount="1" colPageCount="1"/>
  <pivotFields count="15">
    <pivotField numFmtId="14" showAll="0"/>
    <pivotField numFmtId="14" showAll="0"/>
    <pivotField axis="axisRow" numFmtId="17" showAll="0">
      <items count="4">
        <item x="0"/>
        <item x="1"/>
        <item x="2"/>
        <item t="default"/>
      </items>
    </pivotField>
    <pivotField showAll="0"/>
    <pivotField axis="axisPage" showAll="0">
      <items count="21">
        <item x="6"/>
        <item x="19"/>
        <item x="17"/>
        <item x="13"/>
        <item x="14"/>
        <item x="18"/>
        <item x="4"/>
        <item x="2"/>
        <item x="0"/>
        <item x="16"/>
        <item x="1"/>
        <item x="3"/>
        <item x="5"/>
        <item x="7"/>
        <item x="8"/>
        <item x="9"/>
        <item x="10"/>
        <item x="11"/>
        <item x="12"/>
        <item x="15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4" item="1" hier="-1"/>
  </pageFields>
  <dataFields count="1">
    <dataField name="Soma de VlrDespesa" fld="6" baseField="0" baseItem="0" numFmtId="166"/>
  </dataFields>
  <formats count="1">
    <format dxfId="9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06C87B-6307-4A9F-A64B-FDC6324A86F1}" name="Tabela dinâ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H8:AI12" firstHeaderRow="1" firstDataRow="1" firstDataCol="1" rowPageCount="1" colPageCount="1"/>
  <pivotFields count="15">
    <pivotField numFmtId="14" showAll="0"/>
    <pivotField numFmtId="14" showAll="0"/>
    <pivotField axis="axisRow" numFmtId="17" showAll="0">
      <items count="4">
        <item x="0"/>
        <item x="1"/>
        <item x="2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  <pivotField showAll="0"/>
    <pivotField dataField="1" showAll="0"/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3" item="1" hier="-1"/>
  </pageFields>
  <dataFields count="1">
    <dataField name="Aportes" fld="6" baseField="0" baseItem="0" numFmtId="173"/>
  </dataFields>
  <formats count="2">
    <format dxfId="11">
      <pivotArea outline="0" collapsedLevelsAreSubtotals="1" fieldPosition="0"/>
    </format>
    <format dxfId="10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6637E4-2B43-41E5-A06E-9520E7EEB8B1}" name="Tabela dinâmica4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1">
  <location ref="B9:C13" firstHeaderRow="1" firstDataRow="1" firstDataCol="1"/>
  <pivotFields count="15">
    <pivotField numFmtId="14" showAll="0"/>
    <pivotField numFmtId="14" showAll="0"/>
    <pivotField axis="axisRow" numFmtId="17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lrReceita" fld="5" baseField="0" baseItem="0" numFmtId="165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BC831-4D20-4E1B-AB36-FD1020F3F75D}" name="Tabela dinâmica3" cacheId="1" applyNumberFormats="0" applyBorderFormats="0" applyFontFormats="0" applyPatternFormats="0" applyAlignmentFormats="0" applyWidthHeightFormats="1" dataCaption="Valores" updatedVersion="8" minRefreshableVersion="3" rowGrandTotals="0" itemPrintTitles="1" createdVersion="8" indent="0" outline="1" outlineData="1" multipleFieldFilters="0" chartFormat="5">
  <location ref="AR6:AU10" firstHeaderRow="1" firstDataRow="2" firstDataCol="1"/>
  <pivotFields count="8">
    <pivotField numFmtId="14" showAll="0"/>
    <pivotField axis="axisRow" showAll="0">
      <items count="4">
        <item x="0"/>
        <item x="1"/>
        <item x="2"/>
        <item t="default"/>
      </items>
    </pivotField>
    <pivotField numFmtId="1" showAll="0"/>
    <pivotField showAll="0"/>
    <pivotField showAll="0"/>
    <pivotField showAll="0"/>
    <pivotField dataField="1" numFmtId="166" showAll="0"/>
    <pivotField axis="axisCol" showAll="0">
      <items count="3">
        <item x="1"/>
        <item x="0"/>
        <item t="default"/>
      </items>
    </pivotField>
  </pivotFields>
  <rowFields count="1">
    <field x="1"/>
  </rowFields>
  <rowItems count="3">
    <i>
      <x/>
    </i>
    <i>
      <x v="1"/>
    </i>
    <i>
      <x v="2"/>
    </i>
  </rowItems>
  <colFields count="1">
    <field x="7"/>
  </colFields>
  <colItems count="3">
    <i>
      <x/>
    </i>
    <i>
      <x v="1"/>
    </i>
    <i t="grand">
      <x/>
    </i>
  </colItems>
  <dataFields count="1">
    <dataField name="Soma de Sld Devedor" fld="6" baseField="0" baseItem="0" numFmtId="166"/>
  </dataFields>
  <formats count="1">
    <format dxfId="13">
      <pivotArea dataOnly="0" labelOnly="1" fieldPosition="0">
        <references count="1">
          <reference field="1" count="0"/>
        </references>
      </pivotArea>
    </format>
  </formats>
  <chartFormats count="4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73158F-96E4-4223-B484-06E8CBC32802}" name="Tabela dinâmica13" cacheId="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1">
  <location ref="U8:V24" firstHeaderRow="1" firstDataRow="1" firstDataCol="1" rowPageCount="1" colPageCount="1"/>
  <pivotFields count="15">
    <pivotField numFmtId="14" showAll="0"/>
    <pivotField numFmtId="14" showAll="0"/>
    <pivotField numFmtId="17" showAll="0">
      <items count="4">
        <item x="0"/>
        <item x="1"/>
        <item x="2"/>
        <item t="default"/>
      </items>
    </pivotField>
    <pivotField axis="axisPage" showAll="0">
      <items count="4">
        <item x="2"/>
        <item x="0"/>
        <item x="1"/>
        <item t="default"/>
      </items>
    </pivotField>
    <pivotField axis="axisRow" showAll="0">
      <items count="21">
        <item x="6"/>
        <item x="19"/>
        <item x="17"/>
        <item x="13"/>
        <item x="14"/>
        <item x="18"/>
        <item x="2"/>
        <item x="0"/>
        <item x="4"/>
        <item x="16"/>
        <item x="1"/>
        <item x="3"/>
        <item x="5"/>
        <item x="7"/>
        <item x="8"/>
        <item x="9"/>
        <item x="10"/>
        <item x="11"/>
        <item x="12"/>
        <item x="15"/>
        <item t="default"/>
      </items>
    </pivotField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1">
    <field x="4"/>
  </rowFields>
  <rowItems count="16">
    <i>
      <x/>
    </i>
    <i>
      <x v="1"/>
    </i>
    <i>
      <x v="2"/>
    </i>
    <i>
      <x v="3"/>
    </i>
    <i>
      <x v="4"/>
    </i>
    <i>
      <x v="5"/>
    </i>
    <i>
      <x v="9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pageFields count="1">
    <pageField fld="3" item="0" hier="-1"/>
  </pageFields>
  <dataFields count="1">
    <dataField name="Soma de PercDespesa" fld="14" showDataAs="percentOfTotal" baseField="4" baseItem="1" numFmtId="10"/>
  </dataFields>
  <formats count="1">
    <format dxfId="14">
      <pivotArea collapsedLevelsAreSubtotals="1" fieldPosition="0">
        <references count="2">
          <reference field="4294967294" count="1" selected="0">
            <x v="0"/>
          </reference>
          <reference field="4" count="6">
            <x v="0"/>
            <x v="1"/>
            <x v="2"/>
            <x v="3"/>
            <x v="4"/>
            <x v="5"/>
          </reference>
        </references>
      </pivotArea>
    </format>
  </formats>
  <chartFormats count="19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0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0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0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0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0" format="12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0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10" format="18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10" format="19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10" format="20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10" format="2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10" format="22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10" format="23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_Pgto" xr10:uid="{D1828B1E-5CA4-4295-861D-E2B31D0F80E1}" sourceName="Status Pgto">
  <pivotTables>
    <pivotTable tabId="5" name="Tabela dinâmica4"/>
    <pivotTable tabId="5" name="Tabela dinâmica5"/>
    <pivotTable tabId="5" name="Tabela dinâmica6"/>
    <pivotTable tabId="5" name="Tabela dinâmica11"/>
    <pivotTable tabId="5" name="Tabela dinâmica13"/>
    <pivotTable tabId="5" name="Tabela dinâmica14"/>
    <pivotTable tabId="5" name="Tabela dinâmica1"/>
    <pivotTable tabId="5" name="Tabela dinâmica7"/>
    <pivotTable tabId="5" name="Tabela dinâmica8"/>
  </pivotTables>
  <data>
    <tabular pivotCacheId="1174514373">
      <items count="2"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REF" xr10:uid="{728C3939-6CD7-4C2E-9A41-8FE15A940803}" sourceName="MÊS REF">
  <pivotTables>
    <pivotTable tabId="5" name="Tabela dinâmica4"/>
    <pivotTable tabId="5" name="Tabela dinâmica5"/>
    <pivotTable tabId="5" name="Tabela dinâmica6"/>
    <pivotTable tabId="5" name="Tabela dinâmica11"/>
    <pivotTable tabId="5" name="Tabela dinâmica13"/>
    <pivotTable tabId="5" name="Tabela dinâmica14"/>
    <pivotTable tabId="5" name="Tabela dinâmica7"/>
    <pivotTable tabId="5" name="Tabela dinâmica8"/>
    <pivotTable tabId="5" name="Tabela dinâmica1"/>
  </pivotTables>
  <data>
    <tabular pivotCacheId="117451437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_Pgto1" xr10:uid="{84A285A7-A8F5-4440-B67B-33D401A44C19}" sourceName="Status Pgto">
  <extLst>
    <x:ext xmlns:x15="http://schemas.microsoft.com/office/spreadsheetml/2010/11/main" uri="{2F2917AC-EB37-4324-AD4E-5DD8C200BD13}">
      <x15:tableSlicerCache tableId="1" column="7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REF1" xr10:uid="{FD653709-5B92-4C58-807A-DCF4906010CE}" sourceName="MÊS REF">
  <extLst>
    <x:ext xmlns:x15="http://schemas.microsoft.com/office/spreadsheetml/2010/11/main" uri="{2F2917AC-EB37-4324-AD4E-5DD8C200BD13}">
      <x15:tableSlicerCache tableId="1" column="10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tatus Pgto" xr10:uid="{A99A93EF-A3E1-4DEE-BE86-90FEBABF4627}" cache="SegmentaçãodeDados_Status_Pgto" caption="Status Pgto" rowHeight="257175"/>
  <slicer name="MÊS REF" xr10:uid="{95BC141E-BF0F-4FAB-86E5-B0493E70AA48}" cache="SegmentaçãodeDados_MÊS_REF" caption="MÊS REF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tatus Pgto 1" xr10:uid="{02B25A76-CECD-4A93-AFDB-55709CBF1464}" cache="SegmentaçãodeDados_Status_Pgto1" caption="Status Pgto" style="SlicerStyleLight1" rowHeight="257175"/>
  <slicer name="MÊS REF 1" xr10:uid="{8C660875-A8E2-47F0-806B-7218687DFC84}" cache="SegmentaçãodeDados_MÊS_REF1" caption="MÊS REF" columnCount="12" style="SlicerStyleLight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AC59FF-261C-4EE7-9DFC-72A9149E23B1}" name="BaseLanc" displayName="BaseLanc" ref="A9:L106" totalsRowShown="0" headerRowCellStyle="Normal" dataCellStyle="Normal">
  <autoFilter ref="A9:L106" xr:uid="{C1AC59FF-261C-4EE7-9DFC-72A9149E23B1}">
    <filterColumn colId="2">
      <filters>
        <dateGroupItem year="2026" month="1" day="1" dateTimeGrouping="day"/>
      </filters>
    </filterColumn>
  </autoFilter>
  <tableColumns count="12">
    <tableColumn id="1" xr3:uid="{6C9E6BF3-49E0-405B-B3DF-9254D99DB1F3}" name="DT Compra" dataDxfId="31" dataCellStyle="Normal"/>
    <tableColumn id="2" xr3:uid="{DCB5CDE4-7F08-4508-997F-1BF31D89653E}" name="DT Venc" dataDxfId="30" dataCellStyle="Normal"/>
    <tableColumn id="10" xr3:uid="{4146C946-948C-4B25-AF8F-8B12BA0E8E98}" name="MÊS REF" dataDxfId="29"/>
    <tableColumn id="9" xr3:uid="{DE770C0E-5337-48B1-A1E4-D8EE2C178646}" name="TIPO" dataDxfId="28"/>
    <tableColumn id="3" xr3:uid="{C49E7A72-1A79-4065-9E53-9A2121BD6C6A}" name="Categoria" dataCellStyle="Normal"/>
    <tableColumn id="12" xr3:uid="{0BABE996-949B-429D-8F8B-B49473B02274}" name="VlrReceita" dataDxfId="27"/>
    <tableColumn id="4" xr3:uid="{30BF282D-71D8-4DA1-ABD7-EB24573C070A}" name="VlrDespesa" dataDxfId="26"/>
    <tableColumn id="5" xr3:uid="{77773410-D89F-4B01-A26C-0DD25145BD69}" name="Descricao" dataCellStyle="Normal"/>
    <tableColumn id="6" xr3:uid="{5A5FA735-D25A-4330-8C12-74567C05A289}" name="Pessoa" dataCellStyle="Normal"/>
    <tableColumn id="7" xr3:uid="{DCDD1539-7276-4927-8D16-FDF36460415F}" name="Status Pgto" dataCellStyle="Normal"/>
    <tableColumn id="8" xr3:uid="{A352B4AF-0934-4039-A2D1-A9B48F0B0EA4}" name="Obs (OPCIONAL)" dataCellStyle="Normal"/>
    <tableColumn id="11" xr3:uid="{93B86679-BAC3-4EB5-B51A-B5B071EB3908}" name="PRI" dataDxfId="25" dataCellStyle="Normal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A337C2-4DD4-4D78-AF98-7271C1330150}" name="Tb_Emprestimos" displayName="Tb_Emprestimos" ref="B12:I18" totalsRowShown="0" headerRowDxfId="24" headerRowBorderDxfId="23" tableBorderDxfId="22">
  <autoFilter ref="B12:I18" xr:uid="{BEA337C2-4DD4-4D78-AF98-7271C1330150}"/>
  <tableColumns count="8">
    <tableColumn id="1" xr3:uid="{CEAC174C-960B-42C8-AD52-27BDF391FE6B}" name="DATA" dataDxfId="21"/>
    <tableColumn id="2" xr3:uid="{54DB59F4-7362-475F-8765-E8718C4D2CA9}" name="MÊS REF" dataDxfId="20">
      <calculatedColumnFormula>Tb_Emprestimos[[#This Row],[DATA]]</calculatedColumnFormula>
    </tableColumn>
    <tableColumn id="3" xr3:uid="{07876435-C61B-434D-8579-5C2B8CA9D75E}" name="PRAZO(m)" dataDxfId="19"/>
    <tableColumn id="4" xr3:uid="{BDED28E8-781D-432A-A9F0-4A6D6F4F859E}" name="Vlr.Prest" dataDxfId="18"/>
    <tableColumn id="5" xr3:uid="{C8355F7C-EB8B-4FE8-9439-8AFFAD00232A}" name="TAXA(a.m)" dataDxfId="17"/>
    <tableColumn id="6" xr3:uid="{292962AB-BE2C-404C-BBAE-C47D9593D19C}" name="Vlr LIQ" dataDxfId="16"/>
    <tableColumn id="7" xr3:uid="{2B6176EF-F4A1-4451-B6D3-2E10095E8274}" name="Sld Devedor" dataDxfId="15"/>
    <tableColumn id="8" xr3:uid="{7DBC9209-08BC-47F0-9050-1716D4B7C75E}" name="DESCRIÇÃO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Íon">
  <a:themeElements>
    <a:clrScheme name="Gil Cores">
      <a:dk1>
        <a:sysClr val="windowText" lastClr="000000"/>
      </a:dk1>
      <a:lt1>
        <a:sysClr val="window" lastClr="FFFFFF"/>
      </a:lt1>
      <a:dk2>
        <a:srgbClr val="1E5155"/>
      </a:dk2>
      <a:lt2>
        <a:srgbClr val="EBEBEB"/>
      </a:lt2>
      <a:accent1>
        <a:srgbClr val="B01513"/>
      </a:accent1>
      <a:accent2>
        <a:srgbClr val="EA6312"/>
      </a:accent2>
      <a:accent3>
        <a:srgbClr val="E6B729"/>
      </a:accent3>
      <a:accent4>
        <a:srgbClr val="6AAC90"/>
      </a:accent4>
      <a:accent5>
        <a:srgbClr val="54849A"/>
      </a:accent5>
      <a:accent6>
        <a:srgbClr val="9E5E9B"/>
      </a:accent6>
      <a:hlink>
        <a:srgbClr val="58C1BA"/>
      </a:hlink>
      <a:folHlink>
        <a:srgbClr val="9DFFCB"/>
      </a:folHlink>
    </a:clrScheme>
    <a:fontScheme name="Íon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Íon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07/relationships/slicer" Target="../slicers/slicer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microsoft.com/office/2007/relationships/slicer" Target="../slicers/slicer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vmlDrawing" Target="../drawings/vmlDrawing4.v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drawing" Target="../drawings/drawing4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C748-344B-4010-AB54-D5D26A7CC055}">
  <sheetPr codeName="Planilha1">
    <tabColor theme="2" tint="-0.499984740745262"/>
  </sheetPr>
  <dimension ref="B2"/>
  <sheetViews>
    <sheetView tabSelected="1" zoomScaleNormal="100" workbookViewId="0"/>
  </sheetViews>
  <sheetFormatPr defaultColWidth="8.625" defaultRowHeight="16.5" x14ac:dyDescent="0.3"/>
  <cols>
    <col min="1" max="1" width="4.375" style="7" customWidth="1"/>
    <col min="2" max="20" width="8.625" style="7"/>
    <col min="21" max="21" width="8.75" style="7" customWidth="1"/>
    <col min="22" max="16384" width="8.625" style="7"/>
  </cols>
  <sheetData>
    <row r="2" spans="2:2" ht="57.75" x14ac:dyDescent="0.85">
      <c r="B2" s="24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tualiza_BD.M_AtualizaBD_Corrigido">
                <anchor moveWithCells="1" sizeWithCells="1">
                  <from>
                    <xdr:col>0</xdr:col>
                    <xdr:colOff>85725</xdr:colOff>
                    <xdr:row>2</xdr:row>
                    <xdr:rowOff>123825</xdr:rowOff>
                  </from>
                  <to>
                    <xdr:col>3</xdr:col>
                    <xdr:colOff>361950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48D78-29ED-440A-B1D8-DCC50679F6F1}">
  <sheetPr codeName="Planilha3">
    <tabColor rgb="FFFF0000"/>
  </sheetPr>
  <dimension ref="A1:L400"/>
  <sheetViews>
    <sheetView zoomScale="130" zoomScaleNormal="130" workbookViewId="0">
      <selection activeCell="A10" sqref="A10"/>
    </sheetView>
  </sheetViews>
  <sheetFormatPr defaultRowHeight="16.5" x14ac:dyDescent="0.3"/>
  <cols>
    <col min="1" max="1" width="11.75" style="52" customWidth="1"/>
    <col min="2" max="2" width="10.875" style="52" customWidth="1"/>
    <col min="3" max="3" width="10.125" style="46" customWidth="1"/>
    <col min="4" max="4" width="11.75" style="44" customWidth="1"/>
    <col min="5" max="5" width="44.125" customWidth="1"/>
    <col min="6" max="6" width="13.75" style="10" customWidth="1"/>
    <col min="7" max="7" width="12.5" style="11" customWidth="1"/>
    <col min="8" max="8" width="23" customWidth="1"/>
    <col min="9" max="9" width="14.125" customWidth="1"/>
    <col min="10" max="10" width="11.125" customWidth="1"/>
    <col min="11" max="11" width="49.125" customWidth="1"/>
    <col min="12" max="12" width="5.375" style="3" bestFit="1" customWidth="1"/>
  </cols>
  <sheetData>
    <row r="1" spans="1:12" ht="54.6" customHeight="1" x14ac:dyDescent="0.3">
      <c r="A1"/>
      <c r="B1"/>
      <c r="C1"/>
      <c r="D1"/>
      <c r="F1"/>
      <c r="G1"/>
      <c r="L1"/>
    </row>
    <row r="2" spans="1:12" ht="57.75" x14ac:dyDescent="0.85">
      <c r="A2" s="7"/>
      <c r="B2" s="7"/>
      <c r="C2" s="7"/>
      <c r="D2" s="57" t="s">
        <v>0</v>
      </c>
      <c r="E2" s="57"/>
      <c r="F2" s="57"/>
      <c r="G2" s="57"/>
      <c r="H2" s="57"/>
      <c r="I2" s="57"/>
      <c r="J2" s="57"/>
      <c r="K2" s="57"/>
      <c r="L2"/>
    </row>
    <row r="3" spans="1:12" x14ac:dyDescent="0.3">
      <c r="A3"/>
      <c r="B3"/>
      <c r="C3"/>
      <c r="D3"/>
      <c r="F3"/>
      <c r="G3"/>
      <c r="L3"/>
    </row>
    <row r="4" spans="1:12" x14ac:dyDescent="0.3">
      <c r="A4"/>
      <c r="B4"/>
      <c r="C4"/>
      <c r="D4"/>
      <c r="F4"/>
      <c r="G4"/>
      <c r="L4"/>
    </row>
    <row r="5" spans="1:12" x14ac:dyDescent="0.3">
      <c r="A5"/>
      <c r="B5"/>
      <c r="C5"/>
      <c r="D5"/>
      <c r="F5"/>
      <c r="G5"/>
      <c r="L5"/>
    </row>
    <row r="6" spans="1:12" x14ac:dyDescent="0.3">
      <c r="A6"/>
      <c r="B6"/>
      <c r="C6"/>
      <c r="D6"/>
      <c r="F6"/>
      <c r="G6"/>
      <c r="L6"/>
    </row>
    <row r="7" spans="1:12" x14ac:dyDescent="0.3">
      <c r="A7"/>
      <c r="B7"/>
      <c r="C7"/>
      <c r="D7"/>
      <c r="F7"/>
      <c r="G7"/>
      <c r="L7"/>
    </row>
    <row r="8" spans="1:12" ht="33.6" customHeight="1" x14ac:dyDescent="0.3">
      <c r="A8"/>
      <c r="B8"/>
      <c r="C8"/>
      <c r="D8"/>
      <c r="F8"/>
      <c r="G8"/>
      <c r="L8"/>
    </row>
    <row r="9" spans="1:12" x14ac:dyDescent="0.3">
      <c r="A9" t="s">
        <v>1</v>
      </c>
      <c r="B9" t="s">
        <v>2</v>
      </c>
      <c r="C9" t="s">
        <v>3</v>
      </c>
      <c r="D9" t="s">
        <v>4</v>
      </c>
      <c r="E9" t="s">
        <v>5</v>
      </c>
      <c r="F9" t="s">
        <v>6</v>
      </c>
      <c r="G9" t="s">
        <v>7</v>
      </c>
      <c r="H9" t="s">
        <v>8</v>
      </c>
      <c r="I9" t="s">
        <v>9</v>
      </c>
      <c r="J9" t="s">
        <v>10</v>
      </c>
      <c r="K9" t="s">
        <v>11</v>
      </c>
      <c r="L9" t="s">
        <v>12</v>
      </c>
    </row>
    <row r="10" spans="1:12" x14ac:dyDescent="0.3">
      <c r="A10" s="52">
        <v>46239</v>
      </c>
      <c r="B10" s="52">
        <v>46239</v>
      </c>
      <c r="C10" s="46">
        <v>46235</v>
      </c>
      <c r="D10" s="44" t="s">
        <v>13</v>
      </c>
      <c r="E10" t="s">
        <v>14</v>
      </c>
      <c r="F10" s="11">
        <v>5600</v>
      </c>
      <c r="H10" t="s">
        <v>70</v>
      </c>
      <c r="I10" t="s">
        <v>71</v>
      </c>
      <c r="J10" t="s">
        <v>18</v>
      </c>
      <c r="L10" s="3" t="s">
        <v>72</v>
      </c>
    </row>
    <row r="11" spans="1:12" x14ac:dyDescent="0.3">
      <c r="A11" s="52">
        <v>46239</v>
      </c>
      <c r="B11" s="52">
        <v>46239</v>
      </c>
      <c r="C11" s="46">
        <v>46235</v>
      </c>
      <c r="D11" s="44" t="s">
        <v>13</v>
      </c>
      <c r="E11" t="s">
        <v>14</v>
      </c>
      <c r="F11" s="11">
        <v>9800</v>
      </c>
      <c r="H11" t="s">
        <v>70</v>
      </c>
      <c r="I11" t="s">
        <v>73</v>
      </c>
      <c r="J11" t="s">
        <v>18</v>
      </c>
      <c r="L11" s="3" t="s">
        <v>72</v>
      </c>
    </row>
    <row r="12" spans="1:12" x14ac:dyDescent="0.3">
      <c r="A12" s="52">
        <v>46249</v>
      </c>
      <c r="B12" s="52">
        <v>46249</v>
      </c>
      <c r="C12" s="46">
        <v>46235</v>
      </c>
      <c r="D12" s="44" t="s">
        <v>13</v>
      </c>
      <c r="E12" t="s">
        <v>17</v>
      </c>
      <c r="F12" s="11">
        <v>2500</v>
      </c>
      <c r="H12" t="s">
        <v>74</v>
      </c>
      <c r="I12" t="s">
        <v>73</v>
      </c>
      <c r="J12" t="s">
        <v>18</v>
      </c>
      <c r="K12" t="s">
        <v>75</v>
      </c>
      <c r="L12" s="3" t="s">
        <v>76</v>
      </c>
    </row>
    <row r="13" spans="1:12" x14ac:dyDescent="0.3">
      <c r="A13" s="52">
        <v>46252</v>
      </c>
      <c r="B13" s="52">
        <v>46254</v>
      </c>
      <c r="C13" s="46">
        <v>46235</v>
      </c>
      <c r="D13" s="44" t="s">
        <v>13</v>
      </c>
      <c r="E13" t="s">
        <v>16</v>
      </c>
      <c r="F13" s="11">
        <v>1450</v>
      </c>
      <c r="H13" t="s">
        <v>77</v>
      </c>
      <c r="I13" t="s">
        <v>73</v>
      </c>
      <c r="J13" t="s">
        <v>18</v>
      </c>
      <c r="L13" s="3" t="s">
        <v>76</v>
      </c>
    </row>
    <row r="14" spans="1:12" x14ac:dyDescent="0.3">
      <c r="A14" s="52">
        <v>46262</v>
      </c>
      <c r="B14" s="52">
        <v>46262</v>
      </c>
      <c r="C14" s="46">
        <v>46235</v>
      </c>
      <c r="D14" s="44" t="s">
        <v>13</v>
      </c>
      <c r="E14" t="s">
        <v>78</v>
      </c>
      <c r="F14" s="11">
        <v>312.39999999999998</v>
      </c>
      <c r="H14" t="s">
        <v>79</v>
      </c>
      <c r="I14" t="s">
        <v>80</v>
      </c>
      <c r="J14" t="s">
        <v>18</v>
      </c>
      <c r="L14" s="3" t="s">
        <v>81</v>
      </c>
    </row>
    <row r="15" spans="1:12" x14ac:dyDescent="0.3">
      <c r="A15" s="52">
        <v>46240</v>
      </c>
      <c r="B15" s="52">
        <v>46240</v>
      </c>
      <c r="C15" s="46">
        <v>46235</v>
      </c>
      <c r="D15" s="44" t="s">
        <v>19</v>
      </c>
      <c r="E15" t="s">
        <v>28</v>
      </c>
      <c r="F15" s="11"/>
      <c r="G15" s="11">
        <v>1000</v>
      </c>
      <c r="H15" t="s">
        <v>82</v>
      </c>
      <c r="I15" t="s">
        <v>73</v>
      </c>
      <c r="J15" t="s">
        <v>18</v>
      </c>
      <c r="L15" s="3" t="s">
        <v>76</v>
      </c>
    </row>
    <row r="16" spans="1:12" x14ac:dyDescent="0.3">
      <c r="A16" s="52">
        <v>46254</v>
      </c>
      <c r="B16" s="52">
        <v>46254</v>
      </c>
      <c r="C16" s="46">
        <v>46235</v>
      </c>
      <c r="D16" s="44" t="s">
        <v>19</v>
      </c>
      <c r="E16" t="s">
        <v>28</v>
      </c>
      <c r="F16" s="11"/>
      <c r="G16" s="11">
        <v>500</v>
      </c>
      <c r="H16" t="s">
        <v>83</v>
      </c>
      <c r="I16" t="s">
        <v>80</v>
      </c>
      <c r="J16" t="s">
        <v>18</v>
      </c>
      <c r="L16" s="3" t="s">
        <v>76</v>
      </c>
    </row>
    <row r="17" spans="1:12" x14ac:dyDescent="0.3">
      <c r="A17" s="52">
        <v>46238</v>
      </c>
      <c r="B17" s="52">
        <v>46238</v>
      </c>
      <c r="C17" s="46">
        <v>46235</v>
      </c>
      <c r="D17" s="44" t="s">
        <v>20</v>
      </c>
      <c r="E17" t="s">
        <v>84</v>
      </c>
      <c r="F17" s="11"/>
      <c r="G17" s="11">
        <v>612.29999999999995</v>
      </c>
      <c r="H17" t="s">
        <v>85</v>
      </c>
      <c r="I17" t="s">
        <v>80</v>
      </c>
      <c r="J17" t="s">
        <v>18</v>
      </c>
      <c r="K17" t="s">
        <v>86</v>
      </c>
      <c r="L17" s="3" t="s">
        <v>76</v>
      </c>
    </row>
    <row r="18" spans="1:12" x14ac:dyDescent="0.3">
      <c r="A18" s="52">
        <v>46239</v>
      </c>
      <c r="B18" s="52">
        <v>46239</v>
      </c>
      <c r="C18" s="46">
        <v>46235</v>
      </c>
      <c r="D18" s="43" t="s">
        <v>20</v>
      </c>
      <c r="E18" t="s">
        <v>21</v>
      </c>
      <c r="F18" s="39"/>
      <c r="G18" s="39">
        <v>55.9</v>
      </c>
      <c r="H18" t="s">
        <v>87</v>
      </c>
      <c r="I18" t="s">
        <v>80</v>
      </c>
      <c r="J18" t="s">
        <v>18</v>
      </c>
      <c r="L18" s="3" t="s">
        <v>81</v>
      </c>
    </row>
    <row r="19" spans="1:12" x14ac:dyDescent="0.3">
      <c r="A19" s="52">
        <v>46239</v>
      </c>
      <c r="B19" s="52">
        <v>46239</v>
      </c>
      <c r="C19" s="46">
        <v>46235</v>
      </c>
      <c r="D19" s="43" t="s">
        <v>20</v>
      </c>
      <c r="E19" t="s">
        <v>88</v>
      </c>
      <c r="F19" s="40"/>
      <c r="G19" s="39">
        <v>1150</v>
      </c>
      <c r="H19" t="s">
        <v>89</v>
      </c>
      <c r="I19" t="s">
        <v>73</v>
      </c>
      <c r="J19" t="s">
        <v>18</v>
      </c>
      <c r="K19" t="s">
        <v>90</v>
      </c>
      <c r="L19" s="3" t="s">
        <v>72</v>
      </c>
    </row>
    <row r="20" spans="1:12" x14ac:dyDescent="0.3">
      <c r="A20" s="52">
        <v>46239</v>
      </c>
      <c r="B20" s="52">
        <v>46239</v>
      </c>
      <c r="C20" s="46">
        <v>46235</v>
      </c>
      <c r="D20" s="43" t="s">
        <v>20</v>
      </c>
      <c r="E20" t="s">
        <v>88</v>
      </c>
      <c r="F20" s="40"/>
      <c r="G20" s="39">
        <v>780</v>
      </c>
      <c r="H20" t="s">
        <v>91</v>
      </c>
      <c r="I20" t="s">
        <v>73</v>
      </c>
      <c r="J20" t="s">
        <v>18</v>
      </c>
      <c r="K20" t="s">
        <v>92</v>
      </c>
      <c r="L20" s="3" t="s">
        <v>72</v>
      </c>
    </row>
    <row r="21" spans="1:12" x14ac:dyDescent="0.3">
      <c r="A21" s="52">
        <v>46239</v>
      </c>
      <c r="B21" s="52">
        <v>46239</v>
      </c>
      <c r="C21" s="46">
        <v>46235</v>
      </c>
      <c r="D21" s="44" t="s">
        <v>20</v>
      </c>
      <c r="E21" t="s">
        <v>21</v>
      </c>
      <c r="G21" s="11">
        <v>21.9</v>
      </c>
      <c r="H21" t="s">
        <v>93</v>
      </c>
      <c r="I21" t="s">
        <v>80</v>
      </c>
      <c r="J21" t="s">
        <v>18</v>
      </c>
      <c r="L21" s="3" t="s">
        <v>81</v>
      </c>
    </row>
    <row r="22" spans="1:12" x14ac:dyDescent="0.3">
      <c r="A22" s="53">
        <v>46241</v>
      </c>
      <c r="B22" s="53">
        <v>46241</v>
      </c>
      <c r="C22" s="46">
        <v>46235</v>
      </c>
      <c r="D22" s="43" t="s">
        <v>20</v>
      </c>
      <c r="E22" s="23" t="s">
        <v>94</v>
      </c>
      <c r="F22" s="40"/>
      <c r="G22" s="39">
        <v>320</v>
      </c>
      <c r="H22" s="23" t="s">
        <v>95</v>
      </c>
      <c r="I22" s="23" t="s">
        <v>73</v>
      </c>
      <c r="J22" s="23" t="s">
        <v>18</v>
      </c>
      <c r="K22" s="23"/>
      <c r="L22" s="3" t="s">
        <v>76</v>
      </c>
    </row>
    <row r="23" spans="1:12" x14ac:dyDescent="0.3">
      <c r="A23" s="53">
        <v>46242</v>
      </c>
      <c r="B23" s="53">
        <v>46242</v>
      </c>
      <c r="C23" s="46">
        <v>46235</v>
      </c>
      <c r="D23" s="43" t="s">
        <v>20</v>
      </c>
      <c r="E23" s="23" t="s">
        <v>96</v>
      </c>
      <c r="F23" s="40"/>
      <c r="G23" s="39">
        <v>185</v>
      </c>
      <c r="H23" s="23" t="s">
        <v>97</v>
      </c>
      <c r="I23" s="23" t="s">
        <v>80</v>
      </c>
      <c r="J23" s="23" t="s">
        <v>18</v>
      </c>
      <c r="K23" s="23"/>
      <c r="L23" s="54" t="s">
        <v>81</v>
      </c>
    </row>
    <row r="24" spans="1:12" x14ac:dyDescent="0.3">
      <c r="A24" s="52">
        <v>46242</v>
      </c>
      <c r="B24" s="52">
        <v>46242</v>
      </c>
      <c r="C24" s="46">
        <v>46235</v>
      </c>
      <c r="D24" s="44" t="s">
        <v>20</v>
      </c>
      <c r="E24" t="s">
        <v>98</v>
      </c>
      <c r="G24" s="11">
        <v>689.9</v>
      </c>
      <c r="H24" t="s">
        <v>99</v>
      </c>
      <c r="I24" t="s">
        <v>80</v>
      </c>
      <c r="J24" t="s">
        <v>18</v>
      </c>
      <c r="L24" s="3" t="s">
        <v>72</v>
      </c>
    </row>
    <row r="25" spans="1:12" x14ac:dyDescent="0.3">
      <c r="A25" s="52">
        <v>46243</v>
      </c>
      <c r="B25" s="52">
        <v>46243</v>
      </c>
      <c r="C25" s="46">
        <v>46235</v>
      </c>
      <c r="D25" s="44" t="s">
        <v>20</v>
      </c>
      <c r="E25" t="s">
        <v>21</v>
      </c>
      <c r="G25" s="11">
        <v>14.9</v>
      </c>
      <c r="H25" t="s">
        <v>100</v>
      </c>
      <c r="I25" t="s">
        <v>73</v>
      </c>
      <c r="J25" t="s">
        <v>18</v>
      </c>
      <c r="L25" s="3" t="s">
        <v>81</v>
      </c>
    </row>
    <row r="26" spans="1:12" x14ac:dyDescent="0.3">
      <c r="A26" s="52">
        <v>46244</v>
      </c>
      <c r="B26" s="52">
        <v>46244</v>
      </c>
      <c r="C26" s="46">
        <v>46235</v>
      </c>
      <c r="D26" s="44" t="s">
        <v>20</v>
      </c>
      <c r="E26" t="s">
        <v>101</v>
      </c>
      <c r="G26" s="11">
        <v>380</v>
      </c>
      <c r="H26" t="s">
        <v>102</v>
      </c>
      <c r="I26" t="s">
        <v>71</v>
      </c>
      <c r="J26" t="s">
        <v>18</v>
      </c>
      <c r="L26" s="3" t="s">
        <v>76</v>
      </c>
    </row>
    <row r="27" spans="1:12" x14ac:dyDescent="0.3">
      <c r="A27" s="52">
        <v>46244</v>
      </c>
      <c r="B27" s="52">
        <v>46244</v>
      </c>
      <c r="C27" s="46">
        <v>46235</v>
      </c>
      <c r="D27" s="44" t="s">
        <v>20</v>
      </c>
      <c r="E27" t="s">
        <v>103</v>
      </c>
      <c r="G27" s="11">
        <v>3200</v>
      </c>
      <c r="H27" t="s">
        <v>104</v>
      </c>
      <c r="I27" t="s">
        <v>80</v>
      </c>
      <c r="J27" t="s">
        <v>18</v>
      </c>
      <c r="L27" s="3" t="s">
        <v>72</v>
      </c>
    </row>
    <row r="28" spans="1:12" x14ac:dyDescent="0.3">
      <c r="A28" s="52">
        <v>46244</v>
      </c>
      <c r="B28" s="52">
        <v>46244</v>
      </c>
      <c r="C28" s="46">
        <v>46235</v>
      </c>
      <c r="D28" s="44" t="s">
        <v>20</v>
      </c>
      <c r="E28" t="s">
        <v>27</v>
      </c>
      <c r="G28" s="11">
        <v>785</v>
      </c>
      <c r="H28" t="s">
        <v>105</v>
      </c>
      <c r="I28" t="s">
        <v>80</v>
      </c>
      <c r="J28" t="s">
        <v>18</v>
      </c>
      <c r="L28" s="3" t="s">
        <v>72</v>
      </c>
    </row>
    <row r="29" spans="1:12" x14ac:dyDescent="0.3">
      <c r="A29" s="53">
        <v>46246</v>
      </c>
      <c r="B29" s="53">
        <v>46246</v>
      </c>
      <c r="C29" s="46">
        <v>46235</v>
      </c>
      <c r="D29" s="43" t="s">
        <v>20</v>
      </c>
      <c r="E29" s="23" t="s">
        <v>23</v>
      </c>
      <c r="F29" s="40"/>
      <c r="G29" s="39">
        <v>98.2</v>
      </c>
      <c r="H29" s="23" t="s">
        <v>106</v>
      </c>
      <c r="I29" s="23" t="s">
        <v>80</v>
      </c>
      <c r="J29" s="23" t="s">
        <v>18</v>
      </c>
      <c r="K29" s="23"/>
      <c r="L29" s="54" t="s">
        <v>72</v>
      </c>
    </row>
    <row r="30" spans="1:12" x14ac:dyDescent="0.3">
      <c r="A30" s="52">
        <v>46247</v>
      </c>
      <c r="B30" s="52">
        <v>46247</v>
      </c>
      <c r="C30" s="46">
        <v>46235</v>
      </c>
      <c r="D30" s="44" t="s">
        <v>20</v>
      </c>
      <c r="E30" t="s">
        <v>84</v>
      </c>
      <c r="G30" s="11">
        <v>478.55</v>
      </c>
      <c r="H30" t="s">
        <v>85</v>
      </c>
      <c r="I30" t="s">
        <v>80</v>
      </c>
      <c r="J30" t="s">
        <v>18</v>
      </c>
      <c r="L30" s="3" t="s">
        <v>76</v>
      </c>
    </row>
    <row r="31" spans="1:12" x14ac:dyDescent="0.3">
      <c r="A31" s="52">
        <v>46248</v>
      </c>
      <c r="B31" s="52">
        <v>46248</v>
      </c>
      <c r="C31" s="46">
        <v>46235</v>
      </c>
      <c r="D31" s="44" t="s">
        <v>20</v>
      </c>
      <c r="E31" t="s">
        <v>107</v>
      </c>
      <c r="G31" s="11">
        <v>129</v>
      </c>
      <c r="H31" t="s">
        <v>108</v>
      </c>
      <c r="I31" t="s">
        <v>80</v>
      </c>
      <c r="J31" t="s">
        <v>18</v>
      </c>
      <c r="L31" s="3" t="s">
        <v>81</v>
      </c>
    </row>
    <row r="32" spans="1:12" x14ac:dyDescent="0.3">
      <c r="A32" s="52">
        <v>46249</v>
      </c>
      <c r="B32" s="52">
        <v>46249</v>
      </c>
      <c r="C32" s="46">
        <v>46235</v>
      </c>
      <c r="D32" s="44" t="s">
        <v>20</v>
      </c>
      <c r="E32" t="s">
        <v>25</v>
      </c>
      <c r="G32" s="11">
        <v>238.4</v>
      </c>
      <c r="H32" t="s">
        <v>109</v>
      </c>
      <c r="I32" t="s">
        <v>80</v>
      </c>
      <c r="J32" t="s">
        <v>18</v>
      </c>
      <c r="L32" s="3" t="s">
        <v>72</v>
      </c>
    </row>
    <row r="33" spans="1:12" x14ac:dyDescent="0.3">
      <c r="A33" s="52">
        <v>46250</v>
      </c>
      <c r="B33" s="52">
        <v>46250</v>
      </c>
      <c r="C33" s="46">
        <v>46235</v>
      </c>
      <c r="D33" s="44" t="s">
        <v>20</v>
      </c>
      <c r="E33" t="s">
        <v>94</v>
      </c>
      <c r="G33" s="11">
        <v>86.4</v>
      </c>
      <c r="H33" t="s">
        <v>110</v>
      </c>
      <c r="I33" t="s">
        <v>71</v>
      </c>
      <c r="J33" t="s">
        <v>18</v>
      </c>
      <c r="L33" s="3" t="s">
        <v>81</v>
      </c>
    </row>
    <row r="34" spans="1:12" x14ac:dyDescent="0.3">
      <c r="A34" s="52">
        <v>46252</v>
      </c>
      <c r="B34" s="52">
        <v>46252</v>
      </c>
      <c r="C34" s="46">
        <v>46235</v>
      </c>
      <c r="D34" s="44" t="s">
        <v>20</v>
      </c>
      <c r="E34" t="s">
        <v>26</v>
      </c>
      <c r="G34" s="11">
        <v>79.900000000000006</v>
      </c>
      <c r="H34" t="s">
        <v>111</v>
      </c>
      <c r="I34" t="s">
        <v>73</v>
      </c>
      <c r="J34" t="s">
        <v>18</v>
      </c>
      <c r="L34" s="3" t="s">
        <v>76</v>
      </c>
    </row>
    <row r="35" spans="1:12" x14ac:dyDescent="0.3">
      <c r="A35" s="52">
        <v>46252</v>
      </c>
      <c r="B35" s="52">
        <v>46252</v>
      </c>
      <c r="C35" s="46">
        <v>46235</v>
      </c>
      <c r="D35" s="44" t="s">
        <v>20</v>
      </c>
      <c r="E35" t="s">
        <v>26</v>
      </c>
      <c r="G35" s="11">
        <v>59.9</v>
      </c>
      <c r="H35" t="s">
        <v>111</v>
      </c>
      <c r="I35" t="s">
        <v>71</v>
      </c>
      <c r="J35" t="s">
        <v>18</v>
      </c>
      <c r="L35" s="3" t="s">
        <v>76</v>
      </c>
    </row>
    <row r="36" spans="1:12" hidden="1" x14ac:dyDescent="0.3">
      <c r="A36" s="52">
        <v>46253</v>
      </c>
      <c r="B36" s="52">
        <v>46253</v>
      </c>
      <c r="C36" s="46">
        <v>46235</v>
      </c>
      <c r="D36" s="44" t="s">
        <v>20</v>
      </c>
      <c r="E36" t="s">
        <v>98</v>
      </c>
      <c r="F36" s="11"/>
      <c r="G36" s="11">
        <v>142.30000000000001</v>
      </c>
      <c r="H36" t="s">
        <v>112</v>
      </c>
      <c r="I36" t="s">
        <v>80</v>
      </c>
      <c r="J36" t="s">
        <v>18</v>
      </c>
      <c r="L36" s="3" t="s">
        <v>76</v>
      </c>
    </row>
    <row r="37" spans="1:12" hidden="1" x14ac:dyDescent="0.3">
      <c r="A37" s="52">
        <v>46254</v>
      </c>
      <c r="B37" s="52">
        <v>46254</v>
      </c>
      <c r="C37" s="46">
        <v>46235</v>
      </c>
      <c r="D37" s="44" t="s">
        <v>20</v>
      </c>
      <c r="E37" t="s">
        <v>24</v>
      </c>
      <c r="F37" s="11"/>
      <c r="G37" s="11">
        <v>129.9</v>
      </c>
      <c r="H37" t="s">
        <v>113</v>
      </c>
      <c r="I37" t="s">
        <v>80</v>
      </c>
      <c r="J37" t="s">
        <v>18</v>
      </c>
      <c r="L37" s="3" t="s">
        <v>76</v>
      </c>
    </row>
    <row r="38" spans="1:12" hidden="1" x14ac:dyDescent="0.3">
      <c r="A38" s="52">
        <v>46255</v>
      </c>
      <c r="B38" s="52">
        <v>46255</v>
      </c>
      <c r="C38" s="46">
        <v>46235</v>
      </c>
      <c r="D38" s="44" t="s">
        <v>20</v>
      </c>
      <c r="E38" t="s">
        <v>96</v>
      </c>
      <c r="F38" s="11"/>
      <c r="G38" s="11">
        <v>240</v>
      </c>
      <c r="H38" t="s">
        <v>114</v>
      </c>
      <c r="I38" t="s">
        <v>80</v>
      </c>
      <c r="J38" t="s">
        <v>18</v>
      </c>
      <c r="L38" s="3" t="s">
        <v>81</v>
      </c>
    </row>
    <row r="39" spans="1:12" hidden="1" x14ac:dyDescent="0.3">
      <c r="A39" s="52">
        <v>46256</v>
      </c>
      <c r="B39" s="52">
        <v>46256</v>
      </c>
      <c r="C39" s="46">
        <v>46235</v>
      </c>
      <c r="D39" s="44" t="s">
        <v>20</v>
      </c>
      <c r="E39" t="s">
        <v>94</v>
      </c>
      <c r="F39" s="11"/>
      <c r="G39" s="11">
        <v>290</v>
      </c>
      <c r="H39" t="s">
        <v>95</v>
      </c>
      <c r="I39" t="s">
        <v>71</v>
      </c>
      <c r="J39" t="s">
        <v>18</v>
      </c>
      <c r="L39" s="3" t="s">
        <v>76</v>
      </c>
    </row>
    <row r="40" spans="1:12" hidden="1" x14ac:dyDescent="0.3">
      <c r="A40" s="52">
        <v>46258</v>
      </c>
      <c r="B40" s="52">
        <v>46258</v>
      </c>
      <c r="C40" s="46">
        <v>46235</v>
      </c>
      <c r="D40" s="44" t="s">
        <v>20</v>
      </c>
      <c r="E40" t="s">
        <v>84</v>
      </c>
      <c r="F40" s="11"/>
      <c r="G40" s="11">
        <v>701.2</v>
      </c>
      <c r="H40" t="s">
        <v>85</v>
      </c>
      <c r="I40" t="s">
        <v>80</v>
      </c>
      <c r="J40" t="s">
        <v>18</v>
      </c>
      <c r="L40" s="3" t="s">
        <v>76</v>
      </c>
    </row>
    <row r="41" spans="1:12" hidden="1" x14ac:dyDescent="0.3">
      <c r="A41" s="52">
        <v>46259</v>
      </c>
      <c r="B41" s="52">
        <v>46259</v>
      </c>
      <c r="C41" s="46">
        <v>46235</v>
      </c>
      <c r="D41" s="44" t="s">
        <v>20</v>
      </c>
      <c r="E41" t="s">
        <v>22</v>
      </c>
      <c r="F41" s="11"/>
      <c r="G41" s="11">
        <v>3184.6</v>
      </c>
      <c r="H41" t="s">
        <v>115</v>
      </c>
      <c r="I41" t="s">
        <v>80</v>
      </c>
      <c r="J41" t="s">
        <v>18</v>
      </c>
      <c r="L41" s="3" t="s">
        <v>72</v>
      </c>
    </row>
    <row r="42" spans="1:12" hidden="1" x14ac:dyDescent="0.3">
      <c r="A42" s="52">
        <v>46260</v>
      </c>
      <c r="B42" s="52">
        <v>46260</v>
      </c>
      <c r="C42" s="46">
        <v>46235</v>
      </c>
      <c r="D42" s="44" t="s">
        <v>20</v>
      </c>
      <c r="E42" t="s">
        <v>107</v>
      </c>
      <c r="F42" s="11"/>
      <c r="G42" s="11">
        <v>210</v>
      </c>
      <c r="H42" t="s">
        <v>116</v>
      </c>
      <c r="I42" t="s">
        <v>80</v>
      </c>
      <c r="J42" t="s">
        <v>18</v>
      </c>
      <c r="L42" s="3" t="s">
        <v>81</v>
      </c>
    </row>
    <row r="43" spans="1:12" hidden="1" x14ac:dyDescent="0.3">
      <c r="A43" s="52">
        <v>46270</v>
      </c>
      <c r="B43" s="52">
        <v>46270</v>
      </c>
      <c r="C43" s="46">
        <v>46266</v>
      </c>
      <c r="D43" s="44" t="s">
        <v>13</v>
      </c>
      <c r="E43" t="s">
        <v>14</v>
      </c>
      <c r="F43" s="11">
        <v>5600</v>
      </c>
      <c r="H43" t="s">
        <v>70</v>
      </c>
      <c r="I43" t="s">
        <v>71</v>
      </c>
      <c r="J43" t="s">
        <v>18</v>
      </c>
      <c r="L43" s="3" t="s">
        <v>72</v>
      </c>
    </row>
    <row r="44" spans="1:12" hidden="1" x14ac:dyDescent="0.3">
      <c r="A44" s="52">
        <v>46270</v>
      </c>
      <c r="B44" s="52">
        <v>46270</v>
      </c>
      <c r="C44" s="46">
        <v>46266</v>
      </c>
      <c r="D44" s="44" t="s">
        <v>13</v>
      </c>
      <c r="E44" t="s">
        <v>14</v>
      </c>
      <c r="F44" s="11">
        <v>9800</v>
      </c>
      <c r="H44" t="s">
        <v>70</v>
      </c>
      <c r="I44" t="s">
        <v>73</v>
      </c>
      <c r="J44" t="s">
        <v>18</v>
      </c>
      <c r="L44" s="3" t="s">
        <v>72</v>
      </c>
    </row>
    <row r="45" spans="1:12" hidden="1" x14ac:dyDescent="0.3">
      <c r="A45" s="52">
        <v>46283</v>
      </c>
      <c r="B45" s="52">
        <v>46285</v>
      </c>
      <c r="C45" s="46">
        <v>46266</v>
      </c>
      <c r="D45" s="43" t="s">
        <v>13</v>
      </c>
      <c r="E45" t="s">
        <v>16</v>
      </c>
      <c r="F45" s="39">
        <v>2100</v>
      </c>
      <c r="G45" s="39"/>
      <c r="H45" t="s">
        <v>77</v>
      </c>
      <c r="I45" t="s">
        <v>73</v>
      </c>
      <c r="J45" t="s">
        <v>18</v>
      </c>
      <c r="L45" s="3" t="s">
        <v>76</v>
      </c>
    </row>
    <row r="46" spans="1:12" hidden="1" x14ac:dyDescent="0.3">
      <c r="A46" s="52">
        <v>46293</v>
      </c>
      <c r="B46" s="52">
        <v>46293</v>
      </c>
      <c r="C46" s="46">
        <v>46266</v>
      </c>
      <c r="D46" s="43" t="s">
        <v>13</v>
      </c>
      <c r="E46" t="s">
        <v>78</v>
      </c>
      <c r="F46" s="40">
        <v>318.75</v>
      </c>
      <c r="G46" s="39"/>
      <c r="H46" t="s">
        <v>79</v>
      </c>
      <c r="I46" t="s">
        <v>80</v>
      </c>
      <c r="J46" t="s">
        <v>18</v>
      </c>
      <c r="L46" s="3" t="s">
        <v>81</v>
      </c>
    </row>
    <row r="47" spans="1:12" hidden="1" x14ac:dyDescent="0.3">
      <c r="A47" s="52">
        <v>46271</v>
      </c>
      <c r="B47" s="52">
        <v>46271</v>
      </c>
      <c r="C47" s="46">
        <v>46266</v>
      </c>
      <c r="D47" s="43" t="s">
        <v>19</v>
      </c>
      <c r="E47" t="s">
        <v>28</v>
      </c>
      <c r="F47" s="40"/>
      <c r="G47" s="39">
        <v>1000</v>
      </c>
      <c r="H47" t="s">
        <v>82</v>
      </c>
      <c r="I47" t="s">
        <v>73</v>
      </c>
      <c r="J47" t="s">
        <v>18</v>
      </c>
      <c r="L47" s="3" t="s">
        <v>76</v>
      </c>
    </row>
    <row r="48" spans="1:12" hidden="1" x14ac:dyDescent="0.3">
      <c r="A48" s="52">
        <v>46285</v>
      </c>
      <c r="B48" s="52">
        <v>46285</v>
      </c>
      <c r="C48" s="46">
        <v>46266</v>
      </c>
      <c r="D48" s="44" t="s">
        <v>19</v>
      </c>
      <c r="E48" t="s">
        <v>28</v>
      </c>
      <c r="G48" s="11">
        <v>500</v>
      </c>
      <c r="H48" t="s">
        <v>83</v>
      </c>
      <c r="I48" t="s">
        <v>80</v>
      </c>
      <c r="J48" t="s">
        <v>18</v>
      </c>
      <c r="L48" s="3" t="s">
        <v>76</v>
      </c>
    </row>
    <row r="49" spans="1:12" hidden="1" x14ac:dyDescent="0.3">
      <c r="A49" s="52">
        <v>46269</v>
      </c>
      <c r="B49" s="52">
        <v>46269</v>
      </c>
      <c r="C49" s="46">
        <v>46266</v>
      </c>
      <c r="D49" s="44" t="s">
        <v>20</v>
      </c>
      <c r="E49" t="s">
        <v>84</v>
      </c>
      <c r="G49" s="11">
        <v>588.4</v>
      </c>
      <c r="H49" t="s">
        <v>85</v>
      </c>
      <c r="I49" t="s">
        <v>80</v>
      </c>
      <c r="J49" t="s">
        <v>18</v>
      </c>
      <c r="K49" t="s">
        <v>86</v>
      </c>
      <c r="L49" s="3" t="s">
        <v>76</v>
      </c>
    </row>
    <row r="50" spans="1:12" hidden="1" x14ac:dyDescent="0.3">
      <c r="A50" s="52">
        <v>46270</v>
      </c>
      <c r="B50" s="52">
        <v>46270</v>
      </c>
      <c r="C50" s="46">
        <v>46266</v>
      </c>
      <c r="D50" s="44" t="s">
        <v>20</v>
      </c>
      <c r="E50" t="s">
        <v>88</v>
      </c>
      <c r="G50" s="11">
        <v>1150</v>
      </c>
      <c r="H50" t="s">
        <v>89</v>
      </c>
      <c r="I50" t="s">
        <v>73</v>
      </c>
      <c r="J50" t="s">
        <v>18</v>
      </c>
      <c r="K50" t="s">
        <v>90</v>
      </c>
      <c r="L50" s="3" t="s">
        <v>72</v>
      </c>
    </row>
    <row r="51" spans="1:12" hidden="1" x14ac:dyDescent="0.3">
      <c r="A51" s="52">
        <v>46270</v>
      </c>
      <c r="B51" s="52">
        <v>46270</v>
      </c>
      <c r="C51" s="46">
        <v>46266</v>
      </c>
      <c r="D51" s="44" t="s">
        <v>20</v>
      </c>
      <c r="E51" t="s">
        <v>88</v>
      </c>
      <c r="G51" s="11">
        <v>780</v>
      </c>
      <c r="H51" t="s">
        <v>91</v>
      </c>
      <c r="I51" t="s">
        <v>73</v>
      </c>
      <c r="J51" t="s">
        <v>18</v>
      </c>
      <c r="K51" t="s">
        <v>92</v>
      </c>
      <c r="L51" s="3" t="s">
        <v>72</v>
      </c>
    </row>
    <row r="52" spans="1:12" hidden="1" x14ac:dyDescent="0.3">
      <c r="A52" s="52">
        <v>46270</v>
      </c>
      <c r="B52" s="52">
        <v>46270</v>
      </c>
      <c r="C52" s="46">
        <v>46266</v>
      </c>
      <c r="D52" s="44" t="s">
        <v>20</v>
      </c>
      <c r="E52" t="s">
        <v>21</v>
      </c>
      <c r="G52" s="11">
        <v>55.9</v>
      </c>
      <c r="H52" t="s">
        <v>87</v>
      </c>
      <c r="I52" t="s">
        <v>80</v>
      </c>
      <c r="J52" t="s">
        <v>18</v>
      </c>
      <c r="L52" s="3" t="s">
        <v>81</v>
      </c>
    </row>
    <row r="53" spans="1:12" hidden="1" x14ac:dyDescent="0.3">
      <c r="A53" s="52">
        <v>46270</v>
      </c>
      <c r="B53" s="52">
        <v>46270</v>
      </c>
      <c r="C53" s="46">
        <v>46266</v>
      </c>
      <c r="D53" s="44" t="s">
        <v>20</v>
      </c>
      <c r="E53" t="s">
        <v>21</v>
      </c>
      <c r="G53" s="11">
        <v>21.9</v>
      </c>
      <c r="H53" t="s">
        <v>93</v>
      </c>
      <c r="I53" t="s">
        <v>80</v>
      </c>
      <c r="J53" t="s">
        <v>18</v>
      </c>
      <c r="L53" s="3" t="s">
        <v>81</v>
      </c>
    </row>
    <row r="54" spans="1:12" hidden="1" x14ac:dyDescent="0.3">
      <c r="A54" s="52">
        <v>46272</v>
      </c>
      <c r="B54" s="52">
        <v>46272</v>
      </c>
      <c r="C54" s="46">
        <v>46266</v>
      </c>
      <c r="D54" s="44" t="s">
        <v>20</v>
      </c>
      <c r="E54" t="s">
        <v>94</v>
      </c>
      <c r="G54" s="11">
        <v>335</v>
      </c>
      <c r="H54" t="s">
        <v>95</v>
      </c>
      <c r="I54" t="s">
        <v>73</v>
      </c>
      <c r="J54" t="s">
        <v>18</v>
      </c>
      <c r="L54" s="3" t="s">
        <v>76</v>
      </c>
    </row>
    <row r="55" spans="1:12" hidden="1" x14ac:dyDescent="0.3">
      <c r="A55" s="52">
        <v>46273</v>
      </c>
      <c r="B55" s="52">
        <v>46273</v>
      </c>
      <c r="C55" s="46">
        <v>46266</v>
      </c>
      <c r="D55" s="44" t="s">
        <v>20</v>
      </c>
      <c r="E55" t="s">
        <v>98</v>
      </c>
      <c r="G55" s="11">
        <v>689.9</v>
      </c>
      <c r="H55" t="s">
        <v>99</v>
      </c>
      <c r="I55" t="s">
        <v>80</v>
      </c>
      <c r="J55" t="s">
        <v>18</v>
      </c>
      <c r="L55" s="3" t="s">
        <v>72</v>
      </c>
    </row>
    <row r="56" spans="1:12" hidden="1" x14ac:dyDescent="0.3">
      <c r="A56" s="52">
        <v>46273</v>
      </c>
      <c r="B56" s="52">
        <v>46273</v>
      </c>
      <c r="C56" s="46">
        <v>46266</v>
      </c>
      <c r="D56" s="44" t="s">
        <v>20</v>
      </c>
      <c r="E56" t="s">
        <v>96</v>
      </c>
      <c r="G56" s="11">
        <v>185</v>
      </c>
      <c r="H56" t="s">
        <v>97</v>
      </c>
      <c r="I56" t="s">
        <v>80</v>
      </c>
      <c r="J56" t="s">
        <v>18</v>
      </c>
      <c r="L56" s="3" t="s">
        <v>81</v>
      </c>
    </row>
    <row r="57" spans="1:12" hidden="1" x14ac:dyDescent="0.3">
      <c r="A57" s="52">
        <v>46274</v>
      </c>
      <c r="B57" s="52">
        <v>46274</v>
      </c>
      <c r="C57" s="46">
        <v>46266</v>
      </c>
      <c r="D57" s="44" t="s">
        <v>20</v>
      </c>
      <c r="E57" t="s">
        <v>21</v>
      </c>
      <c r="G57" s="11">
        <v>14.9</v>
      </c>
      <c r="H57" t="s">
        <v>100</v>
      </c>
      <c r="I57" t="s">
        <v>73</v>
      </c>
      <c r="J57" t="s">
        <v>18</v>
      </c>
      <c r="L57" s="3" t="s">
        <v>81</v>
      </c>
    </row>
    <row r="58" spans="1:12" hidden="1" x14ac:dyDescent="0.3">
      <c r="A58" s="52">
        <v>46275</v>
      </c>
      <c r="B58" s="52">
        <v>46275</v>
      </c>
      <c r="C58" s="46">
        <v>46266</v>
      </c>
      <c r="D58" s="44" t="s">
        <v>20</v>
      </c>
      <c r="E58" t="s">
        <v>101</v>
      </c>
      <c r="G58" s="11">
        <v>380</v>
      </c>
      <c r="H58" t="s">
        <v>102</v>
      </c>
      <c r="I58" t="s">
        <v>71</v>
      </c>
      <c r="J58" t="s">
        <v>18</v>
      </c>
      <c r="L58" s="3" t="s">
        <v>76</v>
      </c>
    </row>
    <row r="59" spans="1:12" hidden="1" x14ac:dyDescent="0.3">
      <c r="A59" s="52">
        <v>46275</v>
      </c>
      <c r="B59" s="52">
        <v>46275</v>
      </c>
      <c r="C59" s="46">
        <v>46266</v>
      </c>
      <c r="D59" s="44" t="s">
        <v>20</v>
      </c>
      <c r="E59" t="s">
        <v>27</v>
      </c>
      <c r="G59" s="11">
        <v>785</v>
      </c>
      <c r="H59" t="s">
        <v>105</v>
      </c>
      <c r="I59" t="s">
        <v>80</v>
      </c>
      <c r="J59" t="s">
        <v>18</v>
      </c>
      <c r="L59" s="3" t="s">
        <v>72</v>
      </c>
    </row>
    <row r="60" spans="1:12" hidden="1" x14ac:dyDescent="0.3">
      <c r="A60" s="52">
        <v>46275</v>
      </c>
      <c r="B60" s="52">
        <v>46275</v>
      </c>
      <c r="C60" s="46">
        <v>46266</v>
      </c>
      <c r="D60" s="44" t="s">
        <v>20</v>
      </c>
      <c r="E60" t="s">
        <v>103</v>
      </c>
      <c r="G60" s="11">
        <v>3200</v>
      </c>
      <c r="H60" t="s">
        <v>104</v>
      </c>
      <c r="I60" t="s">
        <v>80</v>
      </c>
      <c r="J60" t="s">
        <v>18</v>
      </c>
      <c r="L60" s="3" t="s">
        <v>72</v>
      </c>
    </row>
    <row r="61" spans="1:12" hidden="1" x14ac:dyDescent="0.3">
      <c r="A61" s="52">
        <v>46277</v>
      </c>
      <c r="B61" s="52">
        <v>46277</v>
      </c>
      <c r="C61" s="46">
        <v>46266</v>
      </c>
      <c r="D61" s="44" t="s">
        <v>20</v>
      </c>
      <c r="E61" t="s">
        <v>23</v>
      </c>
      <c r="G61" s="11">
        <v>104.6</v>
      </c>
      <c r="H61" t="s">
        <v>106</v>
      </c>
      <c r="I61" t="s">
        <v>80</v>
      </c>
      <c r="J61" t="s">
        <v>18</v>
      </c>
      <c r="L61" s="3" t="s">
        <v>72</v>
      </c>
    </row>
    <row r="62" spans="1:12" hidden="1" x14ac:dyDescent="0.3">
      <c r="A62" s="52">
        <v>46278</v>
      </c>
      <c r="B62" s="52">
        <v>46278</v>
      </c>
      <c r="C62" s="46">
        <v>46266</v>
      </c>
      <c r="D62" s="44" t="s">
        <v>20</v>
      </c>
      <c r="E62" t="s">
        <v>84</v>
      </c>
      <c r="G62" s="11">
        <v>512.1</v>
      </c>
      <c r="H62" t="s">
        <v>85</v>
      </c>
      <c r="I62" t="s">
        <v>80</v>
      </c>
      <c r="J62" t="s">
        <v>18</v>
      </c>
      <c r="L62" s="3" t="s">
        <v>76</v>
      </c>
    </row>
    <row r="63" spans="1:12" hidden="1" x14ac:dyDescent="0.3">
      <c r="A63" s="52">
        <v>46279</v>
      </c>
      <c r="B63" s="52">
        <v>46279</v>
      </c>
      <c r="C63" s="46">
        <v>46266</v>
      </c>
      <c r="D63" s="44" t="s">
        <v>20</v>
      </c>
      <c r="E63" t="s">
        <v>107</v>
      </c>
      <c r="G63" s="11">
        <v>189.9</v>
      </c>
      <c r="H63" t="s">
        <v>108</v>
      </c>
      <c r="I63" t="s">
        <v>80</v>
      </c>
      <c r="J63" t="s">
        <v>18</v>
      </c>
      <c r="L63" s="3" t="s">
        <v>81</v>
      </c>
    </row>
    <row r="64" spans="1:12" hidden="1" x14ac:dyDescent="0.3">
      <c r="A64" s="52">
        <v>46280</v>
      </c>
      <c r="B64" s="52">
        <v>46280</v>
      </c>
      <c r="C64" s="46">
        <v>46266</v>
      </c>
      <c r="D64" s="44" t="s">
        <v>20</v>
      </c>
      <c r="E64" t="s">
        <v>25</v>
      </c>
      <c r="F64" s="11"/>
      <c r="G64" s="11">
        <v>261.14999999999998</v>
      </c>
      <c r="H64" t="s">
        <v>109</v>
      </c>
      <c r="I64" t="s">
        <v>80</v>
      </c>
      <c r="J64" t="s">
        <v>18</v>
      </c>
      <c r="L64" s="3" t="s">
        <v>72</v>
      </c>
    </row>
    <row r="65" spans="1:12" hidden="1" x14ac:dyDescent="0.3">
      <c r="A65" s="52">
        <v>46281</v>
      </c>
      <c r="B65" s="52">
        <v>46281</v>
      </c>
      <c r="C65" s="46">
        <v>46266</v>
      </c>
      <c r="D65" s="44" t="s">
        <v>20</v>
      </c>
      <c r="E65" t="s">
        <v>94</v>
      </c>
      <c r="F65" s="11"/>
      <c r="G65" s="11">
        <v>86.4</v>
      </c>
      <c r="H65" t="s">
        <v>110</v>
      </c>
      <c r="I65" t="s">
        <v>71</v>
      </c>
      <c r="J65" t="s">
        <v>18</v>
      </c>
      <c r="L65" s="3" t="s">
        <v>81</v>
      </c>
    </row>
    <row r="66" spans="1:12" hidden="1" x14ac:dyDescent="0.3">
      <c r="A66" s="52">
        <v>46283</v>
      </c>
      <c r="B66" s="52">
        <v>46283</v>
      </c>
      <c r="C66" s="46">
        <v>46266</v>
      </c>
      <c r="D66" s="44" t="s">
        <v>20</v>
      </c>
      <c r="E66" t="s">
        <v>26</v>
      </c>
      <c r="F66" s="11"/>
      <c r="G66" s="11">
        <v>59.9</v>
      </c>
      <c r="H66" t="s">
        <v>111</v>
      </c>
      <c r="I66" t="s">
        <v>71</v>
      </c>
      <c r="J66" t="s">
        <v>18</v>
      </c>
      <c r="L66" s="3" t="s">
        <v>76</v>
      </c>
    </row>
    <row r="67" spans="1:12" hidden="1" x14ac:dyDescent="0.3">
      <c r="A67" s="52">
        <v>46283</v>
      </c>
      <c r="B67" s="52">
        <v>46283</v>
      </c>
      <c r="C67" s="46">
        <v>46266</v>
      </c>
      <c r="D67" s="44" t="s">
        <v>20</v>
      </c>
      <c r="E67" t="s">
        <v>26</v>
      </c>
      <c r="F67" s="11"/>
      <c r="G67" s="11">
        <v>79.900000000000006</v>
      </c>
      <c r="H67" t="s">
        <v>111</v>
      </c>
      <c r="I67" t="s">
        <v>73</v>
      </c>
      <c r="J67" t="s">
        <v>18</v>
      </c>
      <c r="L67" s="3" t="s">
        <v>76</v>
      </c>
    </row>
    <row r="68" spans="1:12" hidden="1" x14ac:dyDescent="0.3">
      <c r="A68" s="52">
        <v>46284</v>
      </c>
      <c r="B68" s="52">
        <v>46284</v>
      </c>
      <c r="C68" s="46">
        <v>46266</v>
      </c>
      <c r="D68" s="44" t="s">
        <v>20</v>
      </c>
      <c r="E68" t="s">
        <v>98</v>
      </c>
      <c r="F68" s="11"/>
      <c r="G68" s="11">
        <v>87.9</v>
      </c>
      <c r="H68" t="s">
        <v>112</v>
      </c>
      <c r="I68" t="s">
        <v>80</v>
      </c>
      <c r="J68" t="s">
        <v>18</v>
      </c>
      <c r="L68" s="3" t="s">
        <v>76</v>
      </c>
    </row>
    <row r="69" spans="1:12" hidden="1" x14ac:dyDescent="0.3">
      <c r="A69" s="52">
        <v>46285</v>
      </c>
      <c r="B69" s="52">
        <v>46285</v>
      </c>
      <c r="C69" s="46">
        <v>46266</v>
      </c>
      <c r="D69" s="44" t="s">
        <v>20</v>
      </c>
      <c r="E69" t="s">
        <v>24</v>
      </c>
      <c r="F69" s="11"/>
      <c r="G69" s="11">
        <v>129.9</v>
      </c>
      <c r="H69" t="s">
        <v>113</v>
      </c>
      <c r="I69" t="s">
        <v>80</v>
      </c>
      <c r="J69" t="s">
        <v>18</v>
      </c>
      <c r="L69" s="3" t="s">
        <v>76</v>
      </c>
    </row>
    <row r="70" spans="1:12" hidden="1" x14ac:dyDescent="0.3">
      <c r="A70" s="52">
        <v>46286</v>
      </c>
      <c r="B70" s="52">
        <v>46286</v>
      </c>
      <c r="C70" s="46">
        <v>46266</v>
      </c>
      <c r="D70" s="44" t="s">
        <v>20</v>
      </c>
      <c r="E70" t="s">
        <v>96</v>
      </c>
      <c r="F70" s="11"/>
      <c r="G70" s="11">
        <v>240</v>
      </c>
      <c r="H70" t="s">
        <v>114</v>
      </c>
      <c r="I70" t="s">
        <v>80</v>
      </c>
      <c r="J70" t="s">
        <v>18</v>
      </c>
      <c r="L70" s="3" t="s">
        <v>81</v>
      </c>
    </row>
    <row r="71" spans="1:12" hidden="1" x14ac:dyDescent="0.3">
      <c r="A71" s="52">
        <v>46287</v>
      </c>
      <c r="B71" s="52">
        <v>46287</v>
      </c>
      <c r="C71" s="46">
        <v>46266</v>
      </c>
      <c r="D71" s="44" t="s">
        <v>20</v>
      </c>
      <c r="E71" t="s">
        <v>94</v>
      </c>
      <c r="F71" s="11"/>
      <c r="G71" s="11">
        <v>284</v>
      </c>
      <c r="H71" t="s">
        <v>95</v>
      </c>
      <c r="I71" t="s">
        <v>71</v>
      </c>
      <c r="J71" t="s">
        <v>18</v>
      </c>
      <c r="L71" s="3" t="s">
        <v>76</v>
      </c>
    </row>
    <row r="72" spans="1:12" hidden="1" x14ac:dyDescent="0.3">
      <c r="A72" s="52">
        <v>46289</v>
      </c>
      <c r="B72" s="52">
        <v>46289</v>
      </c>
      <c r="C72" s="46">
        <v>46266</v>
      </c>
      <c r="D72" s="43" t="s">
        <v>20</v>
      </c>
      <c r="E72" t="s">
        <v>84</v>
      </c>
      <c r="F72" s="39"/>
      <c r="G72" s="39">
        <v>655.85</v>
      </c>
      <c r="H72" t="s">
        <v>85</v>
      </c>
      <c r="I72" t="s">
        <v>80</v>
      </c>
      <c r="J72" t="s">
        <v>18</v>
      </c>
      <c r="L72" s="3" t="s">
        <v>76</v>
      </c>
    </row>
    <row r="73" spans="1:12" hidden="1" x14ac:dyDescent="0.3">
      <c r="A73" s="52">
        <v>46290</v>
      </c>
      <c r="B73" s="52">
        <v>46290</v>
      </c>
      <c r="C73" s="46">
        <v>46266</v>
      </c>
      <c r="D73" s="43" t="s">
        <v>20</v>
      </c>
      <c r="E73" t="s">
        <v>22</v>
      </c>
      <c r="F73" s="40"/>
      <c r="G73" s="39">
        <v>3402.15</v>
      </c>
      <c r="H73" t="s">
        <v>115</v>
      </c>
      <c r="I73" t="s">
        <v>80</v>
      </c>
      <c r="J73" t="s">
        <v>18</v>
      </c>
      <c r="L73" s="3" t="s">
        <v>72</v>
      </c>
    </row>
    <row r="74" spans="1:12" hidden="1" x14ac:dyDescent="0.3">
      <c r="A74" s="52">
        <v>46291</v>
      </c>
      <c r="B74" s="52">
        <v>46291</v>
      </c>
      <c r="C74" s="46">
        <v>46266</v>
      </c>
      <c r="D74" s="43" t="s">
        <v>20</v>
      </c>
      <c r="E74" t="s">
        <v>107</v>
      </c>
      <c r="F74" s="40"/>
      <c r="G74" s="39">
        <v>175.5</v>
      </c>
      <c r="H74" t="s">
        <v>116</v>
      </c>
      <c r="I74" t="s">
        <v>80</v>
      </c>
      <c r="J74" t="s">
        <v>18</v>
      </c>
      <c r="L74" s="3" t="s">
        <v>81</v>
      </c>
    </row>
    <row r="75" spans="1:12" hidden="1" x14ac:dyDescent="0.3">
      <c r="A75" s="52">
        <v>46300</v>
      </c>
      <c r="B75" s="52">
        <v>46300</v>
      </c>
      <c r="C75" s="46">
        <v>46296</v>
      </c>
      <c r="D75" s="44" t="s">
        <v>13</v>
      </c>
      <c r="E75" t="s">
        <v>14</v>
      </c>
      <c r="F75" s="10">
        <v>5600</v>
      </c>
      <c r="H75" t="s">
        <v>70</v>
      </c>
      <c r="I75" t="s">
        <v>71</v>
      </c>
      <c r="J75" t="s">
        <v>18</v>
      </c>
      <c r="L75" s="3" t="s">
        <v>72</v>
      </c>
    </row>
    <row r="76" spans="1:12" hidden="1" x14ac:dyDescent="0.3">
      <c r="A76" s="52">
        <v>46300</v>
      </c>
      <c r="B76" s="52">
        <v>46300</v>
      </c>
      <c r="C76" s="46">
        <v>46296</v>
      </c>
      <c r="D76" s="44" t="s">
        <v>13</v>
      </c>
      <c r="E76" t="s">
        <v>14</v>
      </c>
      <c r="F76" s="10">
        <v>9800</v>
      </c>
      <c r="H76" t="s">
        <v>70</v>
      </c>
      <c r="I76" t="s">
        <v>73</v>
      </c>
      <c r="J76" t="s">
        <v>18</v>
      </c>
      <c r="L76" s="3" t="s">
        <v>72</v>
      </c>
    </row>
    <row r="77" spans="1:12" hidden="1" x14ac:dyDescent="0.3">
      <c r="A77" s="52">
        <v>46313</v>
      </c>
      <c r="B77" s="52">
        <v>46315</v>
      </c>
      <c r="C77" s="46">
        <v>46296</v>
      </c>
      <c r="D77" s="44" t="s">
        <v>13</v>
      </c>
      <c r="E77" t="s">
        <v>16</v>
      </c>
      <c r="F77" s="10">
        <v>1800</v>
      </c>
      <c r="H77" t="s">
        <v>77</v>
      </c>
      <c r="I77" t="s">
        <v>73</v>
      </c>
      <c r="J77" t="s">
        <v>15</v>
      </c>
      <c r="L77" s="3" t="s">
        <v>76</v>
      </c>
    </row>
    <row r="78" spans="1:12" hidden="1" x14ac:dyDescent="0.3">
      <c r="A78" s="52">
        <v>46323</v>
      </c>
      <c r="B78" s="52">
        <v>46323</v>
      </c>
      <c r="C78" s="46">
        <v>46296</v>
      </c>
      <c r="D78" s="44" t="s">
        <v>13</v>
      </c>
      <c r="E78" t="s">
        <v>78</v>
      </c>
      <c r="F78" s="10">
        <v>325.10000000000002</v>
      </c>
      <c r="H78" t="s">
        <v>79</v>
      </c>
      <c r="I78" t="s">
        <v>80</v>
      </c>
      <c r="J78" t="s">
        <v>15</v>
      </c>
      <c r="L78" s="3" t="s">
        <v>81</v>
      </c>
    </row>
    <row r="79" spans="1:12" hidden="1" x14ac:dyDescent="0.3">
      <c r="A79" s="52">
        <v>46301</v>
      </c>
      <c r="B79" s="52">
        <v>46301</v>
      </c>
      <c r="C79" s="46">
        <v>46296</v>
      </c>
      <c r="D79" s="44" t="s">
        <v>19</v>
      </c>
      <c r="E79" t="s">
        <v>28</v>
      </c>
      <c r="G79" s="11">
        <v>1000</v>
      </c>
      <c r="H79" t="s">
        <v>82</v>
      </c>
      <c r="I79" t="s">
        <v>73</v>
      </c>
      <c r="J79" t="s">
        <v>15</v>
      </c>
      <c r="L79" s="3" t="s">
        <v>76</v>
      </c>
    </row>
    <row r="80" spans="1:12" hidden="1" x14ac:dyDescent="0.3">
      <c r="A80" s="52">
        <v>46315</v>
      </c>
      <c r="B80" s="52">
        <v>46315</v>
      </c>
      <c r="C80" s="46">
        <v>46296</v>
      </c>
      <c r="D80" s="44" t="s">
        <v>19</v>
      </c>
      <c r="E80" t="s">
        <v>28</v>
      </c>
      <c r="G80" s="11">
        <v>500</v>
      </c>
      <c r="H80" t="s">
        <v>83</v>
      </c>
      <c r="I80" t="s">
        <v>80</v>
      </c>
      <c r="J80" t="s">
        <v>15</v>
      </c>
      <c r="L80" s="3" t="s">
        <v>76</v>
      </c>
    </row>
    <row r="81" spans="1:12" hidden="1" x14ac:dyDescent="0.3">
      <c r="A81" s="52">
        <v>46299</v>
      </c>
      <c r="B81" s="52">
        <v>46299</v>
      </c>
      <c r="C81" s="46">
        <v>46296</v>
      </c>
      <c r="D81" s="44" t="s">
        <v>20</v>
      </c>
      <c r="E81" t="s">
        <v>84</v>
      </c>
      <c r="G81" s="11">
        <v>634.75</v>
      </c>
      <c r="H81" t="s">
        <v>85</v>
      </c>
      <c r="I81" t="s">
        <v>80</v>
      </c>
      <c r="J81" t="s">
        <v>18</v>
      </c>
      <c r="K81" t="s">
        <v>86</v>
      </c>
      <c r="L81" s="3" t="s">
        <v>76</v>
      </c>
    </row>
    <row r="82" spans="1:12" hidden="1" x14ac:dyDescent="0.3">
      <c r="A82" s="52">
        <v>46300</v>
      </c>
      <c r="B82" s="52">
        <v>46300</v>
      </c>
      <c r="C82" s="46">
        <v>46296</v>
      </c>
      <c r="D82" s="44" t="s">
        <v>20</v>
      </c>
      <c r="E82" t="s">
        <v>21</v>
      </c>
      <c r="G82" s="11">
        <v>21.9</v>
      </c>
      <c r="H82" t="s">
        <v>93</v>
      </c>
      <c r="I82" t="s">
        <v>80</v>
      </c>
      <c r="J82" t="s">
        <v>18</v>
      </c>
      <c r="L82" s="3" t="s">
        <v>81</v>
      </c>
    </row>
    <row r="83" spans="1:12" hidden="1" x14ac:dyDescent="0.3">
      <c r="A83" s="52">
        <v>46300</v>
      </c>
      <c r="B83" s="52">
        <v>46300</v>
      </c>
      <c r="C83" s="46">
        <v>46296</v>
      </c>
      <c r="D83" s="44" t="s">
        <v>20</v>
      </c>
      <c r="E83" t="s">
        <v>88</v>
      </c>
      <c r="G83" s="11">
        <v>1150</v>
      </c>
      <c r="H83" t="s">
        <v>89</v>
      </c>
      <c r="I83" t="s">
        <v>73</v>
      </c>
      <c r="J83" t="s">
        <v>18</v>
      </c>
      <c r="K83" t="s">
        <v>90</v>
      </c>
      <c r="L83" s="3" t="s">
        <v>72</v>
      </c>
    </row>
    <row r="84" spans="1:12" hidden="1" x14ac:dyDescent="0.3">
      <c r="A84" s="52">
        <v>46300</v>
      </c>
      <c r="B84" s="52">
        <v>46300</v>
      </c>
      <c r="C84" s="46">
        <v>46296</v>
      </c>
      <c r="D84" s="44" t="s">
        <v>20</v>
      </c>
      <c r="E84" t="s">
        <v>21</v>
      </c>
      <c r="G84" s="11">
        <v>55.9</v>
      </c>
      <c r="H84" t="s">
        <v>87</v>
      </c>
      <c r="I84" t="s">
        <v>80</v>
      </c>
      <c r="J84" t="s">
        <v>18</v>
      </c>
      <c r="L84" s="3" t="s">
        <v>81</v>
      </c>
    </row>
    <row r="85" spans="1:12" hidden="1" x14ac:dyDescent="0.3">
      <c r="A85" s="52">
        <v>46300</v>
      </c>
      <c r="B85" s="52">
        <v>46300</v>
      </c>
      <c r="C85" s="46">
        <v>46296</v>
      </c>
      <c r="D85" s="44" t="s">
        <v>20</v>
      </c>
      <c r="E85" t="s">
        <v>88</v>
      </c>
      <c r="G85" s="11">
        <v>780</v>
      </c>
      <c r="H85" t="s">
        <v>91</v>
      </c>
      <c r="I85" t="s">
        <v>73</v>
      </c>
      <c r="J85" t="s">
        <v>18</v>
      </c>
      <c r="K85" t="s">
        <v>92</v>
      </c>
      <c r="L85" s="3" t="s">
        <v>72</v>
      </c>
    </row>
    <row r="86" spans="1:12" hidden="1" x14ac:dyDescent="0.3">
      <c r="A86" s="52">
        <v>46302</v>
      </c>
      <c r="B86" s="52">
        <v>46302</v>
      </c>
      <c r="C86" s="46">
        <v>46296</v>
      </c>
      <c r="D86" s="44" t="s">
        <v>20</v>
      </c>
      <c r="E86" t="s">
        <v>94</v>
      </c>
      <c r="G86" s="11">
        <v>318</v>
      </c>
      <c r="H86" t="s">
        <v>95</v>
      </c>
      <c r="I86" t="s">
        <v>73</v>
      </c>
      <c r="J86" t="s">
        <v>15</v>
      </c>
      <c r="L86" s="3" t="s">
        <v>76</v>
      </c>
    </row>
    <row r="87" spans="1:12" hidden="1" x14ac:dyDescent="0.3">
      <c r="A87" s="52">
        <v>46303</v>
      </c>
      <c r="B87" s="52">
        <v>46303</v>
      </c>
      <c r="C87" s="46">
        <v>46296</v>
      </c>
      <c r="D87" s="44" t="s">
        <v>20</v>
      </c>
      <c r="E87" t="s">
        <v>98</v>
      </c>
      <c r="G87" s="11">
        <v>689.9</v>
      </c>
      <c r="H87" t="s">
        <v>99</v>
      </c>
      <c r="I87" t="s">
        <v>80</v>
      </c>
      <c r="J87" t="s">
        <v>15</v>
      </c>
      <c r="L87" s="3" t="s">
        <v>72</v>
      </c>
    </row>
    <row r="88" spans="1:12" hidden="1" x14ac:dyDescent="0.3">
      <c r="A88" s="52">
        <v>46303</v>
      </c>
      <c r="B88" s="52">
        <v>46303</v>
      </c>
      <c r="C88" s="46">
        <v>46296</v>
      </c>
      <c r="D88" s="44" t="s">
        <v>20</v>
      </c>
      <c r="E88" t="s">
        <v>96</v>
      </c>
      <c r="G88" s="11">
        <v>185</v>
      </c>
      <c r="H88" t="s">
        <v>97</v>
      </c>
      <c r="I88" t="s">
        <v>80</v>
      </c>
      <c r="J88" t="s">
        <v>15</v>
      </c>
      <c r="L88" s="3" t="s">
        <v>81</v>
      </c>
    </row>
    <row r="89" spans="1:12" hidden="1" x14ac:dyDescent="0.3">
      <c r="A89" s="52">
        <v>46304</v>
      </c>
      <c r="B89" s="52">
        <v>46304</v>
      </c>
      <c r="C89" s="46">
        <v>46296</v>
      </c>
      <c r="D89" s="44" t="s">
        <v>20</v>
      </c>
      <c r="E89" t="s">
        <v>21</v>
      </c>
      <c r="G89" s="11">
        <v>14.9</v>
      </c>
      <c r="H89" t="s">
        <v>100</v>
      </c>
      <c r="I89" t="s">
        <v>73</v>
      </c>
      <c r="J89" t="s">
        <v>15</v>
      </c>
      <c r="L89" s="3" t="s">
        <v>81</v>
      </c>
    </row>
    <row r="90" spans="1:12" hidden="1" x14ac:dyDescent="0.3">
      <c r="A90" s="52">
        <v>46305</v>
      </c>
      <c r="B90" s="52">
        <v>46305</v>
      </c>
      <c r="C90" s="46">
        <v>46296</v>
      </c>
      <c r="D90" s="44" t="s">
        <v>20</v>
      </c>
      <c r="E90" t="s">
        <v>27</v>
      </c>
      <c r="G90" s="11">
        <v>785</v>
      </c>
      <c r="H90" t="s">
        <v>105</v>
      </c>
      <c r="I90" t="s">
        <v>80</v>
      </c>
      <c r="J90" t="s">
        <v>15</v>
      </c>
      <c r="L90" s="3" t="s">
        <v>72</v>
      </c>
    </row>
    <row r="91" spans="1:12" hidden="1" x14ac:dyDescent="0.3">
      <c r="A91" s="52">
        <v>46305</v>
      </c>
      <c r="B91" s="52">
        <v>46305</v>
      </c>
      <c r="C91" s="46">
        <v>46296</v>
      </c>
      <c r="D91" s="44" t="s">
        <v>20</v>
      </c>
      <c r="E91" t="s">
        <v>103</v>
      </c>
      <c r="F91" s="11"/>
      <c r="G91" s="11">
        <v>3200</v>
      </c>
      <c r="H91" t="s">
        <v>104</v>
      </c>
      <c r="I91" t="s">
        <v>80</v>
      </c>
      <c r="J91" t="s">
        <v>15</v>
      </c>
      <c r="L91" s="3" t="s">
        <v>72</v>
      </c>
    </row>
    <row r="92" spans="1:12" hidden="1" x14ac:dyDescent="0.3">
      <c r="A92" s="52">
        <v>46305</v>
      </c>
      <c r="B92" s="52">
        <v>46305</v>
      </c>
      <c r="C92" s="46">
        <v>46296</v>
      </c>
      <c r="D92" s="44" t="s">
        <v>20</v>
      </c>
      <c r="E92" t="s">
        <v>101</v>
      </c>
      <c r="F92" s="11"/>
      <c r="G92" s="11">
        <v>380</v>
      </c>
      <c r="H92" t="s">
        <v>102</v>
      </c>
      <c r="I92" t="s">
        <v>71</v>
      </c>
      <c r="J92" t="s">
        <v>15</v>
      </c>
      <c r="L92" s="3" t="s">
        <v>76</v>
      </c>
    </row>
    <row r="93" spans="1:12" hidden="1" x14ac:dyDescent="0.3">
      <c r="A93" s="52">
        <v>46307</v>
      </c>
      <c r="B93" s="52">
        <v>46307</v>
      </c>
      <c r="C93" s="46">
        <v>46296</v>
      </c>
      <c r="D93" s="44" t="s">
        <v>20</v>
      </c>
      <c r="E93" t="s">
        <v>23</v>
      </c>
      <c r="F93" s="11"/>
      <c r="G93" s="11">
        <v>101.3</v>
      </c>
      <c r="H93" t="s">
        <v>106</v>
      </c>
      <c r="I93" t="s">
        <v>80</v>
      </c>
      <c r="J93" t="s">
        <v>15</v>
      </c>
      <c r="L93" s="3" t="s">
        <v>72</v>
      </c>
    </row>
    <row r="94" spans="1:12" hidden="1" x14ac:dyDescent="0.3">
      <c r="A94" s="52">
        <v>46308</v>
      </c>
      <c r="B94" s="52">
        <v>46308</v>
      </c>
      <c r="C94" s="46">
        <v>46296</v>
      </c>
      <c r="D94" s="44" t="s">
        <v>20</v>
      </c>
      <c r="E94" t="s">
        <v>84</v>
      </c>
      <c r="F94" s="11"/>
      <c r="G94" s="11">
        <v>495.2</v>
      </c>
      <c r="H94" t="s">
        <v>85</v>
      </c>
      <c r="I94" t="s">
        <v>80</v>
      </c>
      <c r="J94" t="s">
        <v>15</v>
      </c>
      <c r="L94" s="3" t="s">
        <v>76</v>
      </c>
    </row>
    <row r="95" spans="1:12" hidden="1" x14ac:dyDescent="0.3">
      <c r="A95" s="52">
        <v>46309</v>
      </c>
      <c r="B95" s="52">
        <v>46309</v>
      </c>
      <c r="C95" s="46">
        <v>46296</v>
      </c>
      <c r="D95" s="44" t="s">
        <v>20</v>
      </c>
      <c r="E95" t="s">
        <v>107</v>
      </c>
      <c r="F95" s="11"/>
      <c r="G95" s="11">
        <v>98</v>
      </c>
      <c r="H95" t="s">
        <v>108</v>
      </c>
      <c r="I95" t="s">
        <v>80</v>
      </c>
      <c r="J95" t="s">
        <v>15</v>
      </c>
      <c r="L95" s="3" t="s">
        <v>81</v>
      </c>
    </row>
    <row r="96" spans="1:12" hidden="1" x14ac:dyDescent="0.3">
      <c r="A96" s="52">
        <v>46310</v>
      </c>
      <c r="B96" s="52">
        <v>46310</v>
      </c>
      <c r="C96" s="46">
        <v>46296</v>
      </c>
      <c r="D96" s="44" t="s">
        <v>20</v>
      </c>
      <c r="E96" t="s">
        <v>25</v>
      </c>
      <c r="F96" s="11"/>
      <c r="G96" s="11">
        <v>249.9</v>
      </c>
      <c r="H96" t="s">
        <v>109</v>
      </c>
      <c r="I96" t="s">
        <v>80</v>
      </c>
      <c r="J96" t="s">
        <v>15</v>
      </c>
      <c r="L96" s="3" t="s">
        <v>72</v>
      </c>
    </row>
    <row r="97" spans="1:12" hidden="1" x14ac:dyDescent="0.3">
      <c r="A97" s="52">
        <v>46311</v>
      </c>
      <c r="B97" s="52">
        <v>46311</v>
      </c>
      <c r="C97" s="46">
        <v>46296</v>
      </c>
      <c r="D97" s="44" t="s">
        <v>20</v>
      </c>
      <c r="E97" t="s">
        <v>94</v>
      </c>
      <c r="G97" s="11">
        <v>86.4</v>
      </c>
      <c r="H97" t="s">
        <v>110</v>
      </c>
      <c r="I97" t="s">
        <v>71</v>
      </c>
      <c r="J97" t="s">
        <v>15</v>
      </c>
      <c r="L97" s="3" t="s">
        <v>81</v>
      </c>
    </row>
    <row r="98" spans="1:12" hidden="1" x14ac:dyDescent="0.3">
      <c r="A98" s="52">
        <v>46313</v>
      </c>
      <c r="B98" s="52">
        <v>46313</v>
      </c>
      <c r="C98" s="46">
        <v>46296</v>
      </c>
      <c r="D98" s="44" t="s">
        <v>20</v>
      </c>
      <c r="E98" t="s">
        <v>26</v>
      </c>
      <c r="G98" s="11">
        <v>59.9</v>
      </c>
      <c r="H98" t="s">
        <v>111</v>
      </c>
      <c r="I98" t="s">
        <v>71</v>
      </c>
      <c r="J98" t="s">
        <v>15</v>
      </c>
      <c r="L98" s="3" t="s">
        <v>76</v>
      </c>
    </row>
    <row r="99" spans="1:12" hidden="1" x14ac:dyDescent="0.3">
      <c r="A99" s="52">
        <v>46313</v>
      </c>
      <c r="B99" s="52">
        <v>46313</v>
      </c>
      <c r="C99" s="46">
        <v>46296</v>
      </c>
      <c r="D99" s="44" t="s">
        <v>20</v>
      </c>
      <c r="E99" t="s">
        <v>26</v>
      </c>
      <c r="G99" s="11">
        <v>79.900000000000006</v>
      </c>
      <c r="H99" t="s">
        <v>111</v>
      </c>
      <c r="I99" t="s">
        <v>73</v>
      </c>
      <c r="J99" t="s">
        <v>15</v>
      </c>
      <c r="L99" s="3" t="s">
        <v>76</v>
      </c>
    </row>
    <row r="100" spans="1:12" hidden="1" x14ac:dyDescent="0.3">
      <c r="A100" s="52">
        <v>46314</v>
      </c>
      <c r="B100" s="52">
        <v>46314</v>
      </c>
      <c r="C100" s="46">
        <v>46296</v>
      </c>
      <c r="D100" s="44" t="s">
        <v>20</v>
      </c>
      <c r="E100" t="s">
        <v>98</v>
      </c>
      <c r="G100" s="11">
        <v>164.2</v>
      </c>
      <c r="H100" t="s">
        <v>112</v>
      </c>
      <c r="I100" t="s">
        <v>80</v>
      </c>
      <c r="J100" t="s">
        <v>15</v>
      </c>
      <c r="L100" s="3" t="s">
        <v>76</v>
      </c>
    </row>
    <row r="101" spans="1:12" hidden="1" x14ac:dyDescent="0.3">
      <c r="A101" s="52">
        <v>46315</v>
      </c>
      <c r="B101" s="52">
        <v>46315</v>
      </c>
      <c r="C101" s="46">
        <v>46296</v>
      </c>
      <c r="D101" s="44" t="s">
        <v>20</v>
      </c>
      <c r="E101" t="s">
        <v>24</v>
      </c>
      <c r="G101" s="11">
        <v>129.9</v>
      </c>
      <c r="H101" t="s">
        <v>113</v>
      </c>
      <c r="I101" t="s">
        <v>80</v>
      </c>
      <c r="J101" t="s">
        <v>15</v>
      </c>
      <c r="L101" s="3" t="s">
        <v>76</v>
      </c>
    </row>
    <row r="102" spans="1:12" hidden="1" x14ac:dyDescent="0.3">
      <c r="A102" s="52">
        <v>46316</v>
      </c>
      <c r="B102" s="52">
        <v>46316</v>
      </c>
      <c r="C102" s="46">
        <v>46296</v>
      </c>
      <c r="D102" s="44" t="s">
        <v>20</v>
      </c>
      <c r="E102" t="s">
        <v>96</v>
      </c>
      <c r="G102" s="11">
        <v>240</v>
      </c>
      <c r="H102" t="s">
        <v>114</v>
      </c>
      <c r="I102" t="s">
        <v>80</v>
      </c>
      <c r="J102" t="s">
        <v>15</v>
      </c>
      <c r="L102" s="3" t="s">
        <v>81</v>
      </c>
    </row>
    <row r="103" spans="1:12" hidden="1" x14ac:dyDescent="0.3">
      <c r="A103" s="52">
        <v>46317</v>
      </c>
      <c r="B103" s="52">
        <v>46317</v>
      </c>
      <c r="C103" s="46">
        <v>46296</v>
      </c>
      <c r="D103" s="44" t="s">
        <v>20</v>
      </c>
      <c r="E103" t="s">
        <v>94</v>
      </c>
      <c r="G103" s="11">
        <v>301</v>
      </c>
      <c r="H103" t="s">
        <v>95</v>
      </c>
      <c r="I103" t="s">
        <v>71</v>
      </c>
      <c r="J103" t="s">
        <v>15</v>
      </c>
      <c r="L103" s="3" t="s">
        <v>76</v>
      </c>
    </row>
    <row r="104" spans="1:12" hidden="1" x14ac:dyDescent="0.3">
      <c r="A104" s="52">
        <v>46319</v>
      </c>
      <c r="B104" s="52">
        <v>46319</v>
      </c>
      <c r="C104" s="46">
        <v>46296</v>
      </c>
      <c r="D104" s="44" t="s">
        <v>20</v>
      </c>
      <c r="E104" t="s">
        <v>84</v>
      </c>
      <c r="G104" s="11">
        <v>689.4</v>
      </c>
      <c r="H104" t="s">
        <v>85</v>
      </c>
      <c r="I104" t="s">
        <v>80</v>
      </c>
      <c r="J104" t="s">
        <v>15</v>
      </c>
      <c r="L104" s="3" t="s">
        <v>76</v>
      </c>
    </row>
    <row r="105" spans="1:12" hidden="1" x14ac:dyDescent="0.3">
      <c r="A105" s="52">
        <v>46320</v>
      </c>
      <c r="B105" s="52">
        <v>46320</v>
      </c>
      <c r="C105" s="46">
        <v>46296</v>
      </c>
      <c r="D105" s="44" t="s">
        <v>20</v>
      </c>
      <c r="E105" t="s">
        <v>22</v>
      </c>
      <c r="G105" s="11">
        <v>3261.8</v>
      </c>
      <c r="H105" t="s">
        <v>115</v>
      </c>
      <c r="I105" t="s">
        <v>80</v>
      </c>
      <c r="J105" t="s">
        <v>15</v>
      </c>
      <c r="L105" s="3" t="s">
        <v>72</v>
      </c>
    </row>
    <row r="106" spans="1:12" hidden="1" x14ac:dyDescent="0.3">
      <c r="A106" s="52">
        <v>46321</v>
      </c>
      <c r="B106" s="52">
        <v>46321</v>
      </c>
      <c r="C106" s="46">
        <v>46296</v>
      </c>
      <c r="D106" s="44" t="s">
        <v>20</v>
      </c>
      <c r="E106" t="s">
        <v>107</v>
      </c>
      <c r="G106" s="11">
        <v>240</v>
      </c>
      <c r="H106" t="s">
        <v>116</v>
      </c>
      <c r="I106" t="s">
        <v>80</v>
      </c>
      <c r="J106" t="s">
        <v>15</v>
      </c>
      <c r="L106" s="3" t="s">
        <v>81</v>
      </c>
    </row>
    <row r="107" spans="1:12" x14ac:dyDescent="0.3">
      <c r="A107"/>
      <c r="B107"/>
      <c r="C107"/>
      <c r="D107"/>
      <c r="F107"/>
      <c r="G107"/>
      <c r="L107"/>
    </row>
    <row r="108" spans="1:12" x14ac:dyDescent="0.3">
      <c r="A108"/>
      <c r="B108"/>
      <c r="C108"/>
      <c r="D108"/>
      <c r="F108"/>
      <c r="G108"/>
      <c r="L108"/>
    </row>
    <row r="109" spans="1:12" x14ac:dyDescent="0.3">
      <c r="A109"/>
      <c r="B109"/>
      <c r="C109"/>
      <c r="D109"/>
      <c r="F109"/>
      <c r="G109"/>
      <c r="L109"/>
    </row>
    <row r="110" spans="1:12" x14ac:dyDescent="0.3">
      <c r="A110"/>
      <c r="B110"/>
      <c r="C110"/>
      <c r="D110"/>
      <c r="F110"/>
      <c r="G110"/>
      <c r="L110"/>
    </row>
    <row r="111" spans="1:12" x14ac:dyDescent="0.3">
      <c r="A111"/>
      <c r="B111"/>
      <c r="C111"/>
      <c r="D111"/>
      <c r="F111"/>
      <c r="G111"/>
      <c r="L111"/>
    </row>
    <row r="112" spans="1:12" x14ac:dyDescent="0.3">
      <c r="A112"/>
      <c r="B112"/>
      <c r="C112"/>
      <c r="D112"/>
      <c r="F112"/>
      <c r="G112"/>
      <c r="L112"/>
    </row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  <row r="388" customFormat="1" x14ac:dyDescent="0.3"/>
    <row r="389" customFormat="1" x14ac:dyDescent="0.3"/>
    <row r="390" customFormat="1" x14ac:dyDescent="0.3"/>
    <row r="391" customFormat="1" x14ac:dyDescent="0.3"/>
    <row r="392" customFormat="1" x14ac:dyDescent="0.3"/>
    <row r="393" customFormat="1" x14ac:dyDescent="0.3"/>
    <row r="394" customFormat="1" x14ac:dyDescent="0.3"/>
    <row r="395" customFormat="1" x14ac:dyDescent="0.3"/>
    <row r="396" customFormat="1" x14ac:dyDescent="0.3"/>
    <row r="397" customFormat="1" x14ac:dyDescent="0.3"/>
    <row r="398" customFormat="1" x14ac:dyDescent="0.3"/>
    <row r="399" customFormat="1" x14ac:dyDescent="0.3"/>
    <row r="400" customFormat="1" x14ac:dyDescent="0.3"/>
  </sheetData>
  <mergeCells count="1">
    <mergeCell ref="D2:K2"/>
  </mergeCells>
  <phoneticPr fontId="2" type="noConversion"/>
  <conditionalFormatting sqref="A10:K106 A401:K2000">
    <cfRule type="expression" dxfId="38" priority="50">
      <formula>AND($D10="INVEST",$J10="Previsto")</formula>
    </cfRule>
    <cfRule type="expression" dxfId="37" priority="51">
      <formula>$D10="INVEST"</formula>
    </cfRule>
    <cfRule type="expression" dxfId="36" priority="52">
      <formula>AND($D10="RECEITA",$J10="Previsto")</formula>
    </cfRule>
    <cfRule type="expression" dxfId="35" priority="55">
      <formula>AND($D10="DESPESA",$J10="Realizado")</formula>
    </cfRule>
    <cfRule type="expression" dxfId="34" priority="56">
      <formula>$D10="RECEITA"</formula>
    </cfRule>
    <cfRule type="expression" dxfId="33" priority="57">
      <formula>AND($D10="DESPESA",$J10="Previsto")</formula>
    </cfRule>
    <cfRule type="expression" dxfId="32" priority="66" stopIfTrue="1">
      <formula>AND($B10&lt;TODAY(),$J10="Previsto")</formula>
    </cfRule>
  </conditionalFormatting>
  <dataValidations count="5">
    <dataValidation type="list" allowBlank="1" showInputMessage="1" showErrorMessage="1" sqref="I10:I106 I401:I2000" xr:uid="{10407A75-88F5-4DFD-A70D-E39F714AA957}">
      <formula1>ListaPessoas</formula1>
    </dataValidation>
    <dataValidation type="list" allowBlank="1" showInputMessage="1" showErrorMessage="1" sqref="E10:E106 E401:E2000" xr:uid="{18BA888D-1325-4305-BD65-3C4E88F98107}">
      <formula1>ListaCategoria</formula1>
    </dataValidation>
    <dataValidation type="list" allowBlank="1" showInputMessage="1" showErrorMessage="1" errorTitle="ERRO" error="Digite apenas:_x000a_1) RECEITA _x000a_ou _x000a_2) DESPESA_x000a_ou_x000a_3)INVEST" promptTitle="Atenção" prompt="RECEITA, DESPESA ou INVEST?" sqref="D10:D106 D401:D2000" xr:uid="{C7A38EED-9729-4D37-8862-D8E9F915AA3D}">
      <formula1>TIPO</formula1>
    </dataValidation>
    <dataValidation type="date" allowBlank="1" showInputMessage="1" showErrorMessage="1" error="Digite uma data valida, a partir de 5 anos atras, e ate daqui a 5 anos" sqref="A10:B106 A401:B2000" xr:uid="{A0A8908B-8318-44DF-8A68-6BF17FB6F346}">
      <formula1>TODAY()-5*365</formula1>
      <formula2>TODAY()+5*365</formula2>
    </dataValidation>
    <dataValidation type="list" allowBlank="1" showInputMessage="1" showErrorMessage="1" errorTitle="Valor nao permitido" error="Escolha Realizado ou Previsto." sqref="J10:J2000" xr:uid="{F1A3D2E6-C760-44F3-B9EF-3DC53BDC6580}">
      <formula1>"Realizado,Previsto"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0" r:id="rId3" name="Button 32">
              <controlPr defaultSize="0" print="0" autoFill="0" autoPict="0" macro="[0]!Atualiza_BD.M_AtualizaBD_Corrigido">
                <anchor moveWithCells="1" sizeWithCells="1">
                  <from>
                    <xdr:col>0</xdr:col>
                    <xdr:colOff>76200</xdr:colOff>
                    <xdr:row>1</xdr:row>
                    <xdr:rowOff>66675</xdr:rowOff>
                  </from>
                  <to>
                    <xdr:col>2</xdr:col>
                    <xdr:colOff>228600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04981-234E-42C2-8BBA-38A9A711C1A3}">
  <sheetPr codeName="Planilha5">
    <tabColor rgb="FF12083A"/>
  </sheetPr>
  <dimension ref="A1:K48"/>
  <sheetViews>
    <sheetView zoomScale="160" zoomScaleNormal="160" workbookViewId="0">
      <selection activeCell="D22" sqref="D22"/>
    </sheetView>
  </sheetViews>
  <sheetFormatPr defaultRowHeight="16.5" x14ac:dyDescent="0.3"/>
  <cols>
    <col min="1" max="1" width="4.125" customWidth="1"/>
    <col min="2" max="2" width="11.875" customWidth="1"/>
    <col min="3" max="3" width="10.875" customWidth="1"/>
    <col min="4" max="5" width="10.875" style="28" customWidth="1"/>
    <col min="6" max="6" width="11" style="29" customWidth="1"/>
    <col min="7" max="7" width="11.75" style="29" bestFit="1" customWidth="1"/>
    <col min="8" max="8" width="17.125" bestFit="1" customWidth="1"/>
    <col min="9" max="9" width="56.875" customWidth="1"/>
    <col min="10" max="10" width="9.875" customWidth="1"/>
    <col min="12" max="12" width="9" bestFit="1" customWidth="1"/>
  </cols>
  <sheetData>
    <row r="1" spans="1:9" ht="33.6" customHeight="1" x14ac:dyDescent="0.3">
      <c r="D1"/>
      <c r="E1"/>
      <c r="F1"/>
      <c r="G1"/>
    </row>
    <row r="2" spans="1:9" ht="23.45" customHeight="1" x14ac:dyDescent="0.3">
      <c r="A2" s="33"/>
      <c r="D2"/>
      <c r="E2"/>
      <c r="F2"/>
      <c r="G2"/>
    </row>
    <row r="3" spans="1:9" x14ac:dyDescent="0.3">
      <c r="D3"/>
      <c r="E3"/>
      <c r="F3"/>
      <c r="G3"/>
    </row>
    <row r="4" spans="1:9" ht="57.75" x14ac:dyDescent="0.85">
      <c r="A4" s="7"/>
      <c r="B4" s="7"/>
      <c r="C4" s="58" t="s">
        <v>0</v>
      </c>
      <c r="D4" s="58"/>
      <c r="E4" s="58"/>
      <c r="F4" s="58"/>
      <c r="G4" s="58"/>
      <c r="H4" s="58"/>
      <c r="I4" s="58"/>
    </row>
    <row r="5" spans="1:9" x14ac:dyDescent="0.3">
      <c r="D5"/>
      <c r="E5"/>
      <c r="F5"/>
      <c r="G5"/>
    </row>
    <row r="6" spans="1:9" ht="19.5" x14ac:dyDescent="0.3">
      <c r="B6" s="27" t="s">
        <v>29</v>
      </c>
      <c r="C6" s="27"/>
      <c r="D6" s="27"/>
      <c r="E6" s="27"/>
      <c r="F6" s="27"/>
      <c r="G6" s="27"/>
    </row>
    <row r="7" spans="1:9" ht="19.5" x14ac:dyDescent="0.3">
      <c r="B7" s="27"/>
      <c r="C7" s="27"/>
      <c r="D7" s="27"/>
      <c r="E7" s="27"/>
      <c r="F7" s="27"/>
      <c r="G7" s="27"/>
    </row>
    <row r="8" spans="1:9" ht="20.25" thickBot="1" x14ac:dyDescent="0.35">
      <c r="B8" s="36"/>
      <c r="C8" s="36" t="s">
        <v>118</v>
      </c>
      <c r="D8" s="36" t="s">
        <v>30</v>
      </c>
      <c r="E8" s="27"/>
      <c r="F8" s="27"/>
      <c r="G8" s="27"/>
    </row>
    <row r="9" spans="1:9" ht="20.25" thickBot="1" x14ac:dyDescent="0.35">
      <c r="B9" s="36" t="s">
        <v>31</v>
      </c>
      <c r="C9" s="37">
        <f>IFERROR(LOOKUP(2,1/(Tb_Emprestimos[DESCRIÇÃO]="FINANC. VEICULO"),Tb_Emprestimos[Sld Devedor]),0)</f>
        <v>29989</v>
      </c>
      <c r="D9" s="37">
        <f>IFERROR(LOOKUP(2,1/(Tb_Emprestimos[DESCRIÇÃO]="CONSIGNADO"),Tb_Emprestimos[Sld Devedor]),0)</f>
        <v>23560</v>
      </c>
      <c r="E9" s="27"/>
      <c r="F9" s="27"/>
      <c r="G9" s="27"/>
    </row>
    <row r="10" spans="1:9" ht="19.5" x14ac:dyDescent="0.3">
      <c r="B10" s="35"/>
      <c r="C10" s="27"/>
      <c r="D10" s="27"/>
      <c r="E10" s="27"/>
      <c r="F10" s="27"/>
      <c r="G10" s="27"/>
    </row>
    <row r="11" spans="1:9" x14ac:dyDescent="0.3">
      <c r="D11"/>
      <c r="E11"/>
      <c r="F11"/>
      <c r="G11"/>
    </row>
    <row r="12" spans="1:9" x14ac:dyDescent="0.3">
      <c r="B12" s="32" t="s">
        <v>32</v>
      </c>
      <c r="C12" s="32" t="s">
        <v>3</v>
      </c>
      <c r="D12" s="32" t="s">
        <v>33</v>
      </c>
      <c r="E12" s="32" t="s">
        <v>34</v>
      </c>
      <c r="F12" s="32" t="s">
        <v>35</v>
      </c>
      <c r="G12" s="32" t="s">
        <v>36</v>
      </c>
      <c r="H12" s="32" t="s">
        <v>37</v>
      </c>
      <c r="I12" s="32" t="s">
        <v>38</v>
      </c>
    </row>
    <row r="13" spans="1:9" x14ac:dyDescent="0.3">
      <c r="B13" s="1">
        <v>46239</v>
      </c>
      <c r="C13" s="2">
        <f>Tb_Emprestimos[[#This Row],[DATA]]</f>
        <v>46239</v>
      </c>
      <c r="D13" s="49">
        <v>46</v>
      </c>
      <c r="E13" s="30">
        <v>1150</v>
      </c>
      <c r="F13" s="29">
        <v>1.35</v>
      </c>
      <c r="G13" s="12">
        <v>38000</v>
      </c>
      <c r="H13" s="12">
        <v>31450</v>
      </c>
      <c r="I13" t="s">
        <v>117</v>
      </c>
    </row>
    <row r="14" spans="1:9" x14ac:dyDescent="0.3">
      <c r="B14" s="1">
        <v>46239</v>
      </c>
      <c r="C14" s="2">
        <f>Tb_Emprestimos[[#This Row],[DATA]]</f>
        <v>46239</v>
      </c>
      <c r="D14" s="49">
        <v>59</v>
      </c>
      <c r="E14" s="30">
        <v>780</v>
      </c>
      <c r="F14" s="29">
        <v>1.7</v>
      </c>
      <c r="G14" s="12">
        <v>28000</v>
      </c>
      <c r="H14" s="12">
        <v>24300</v>
      </c>
      <c r="I14" t="s">
        <v>39</v>
      </c>
    </row>
    <row r="15" spans="1:9" x14ac:dyDescent="0.3">
      <c r="B15" s="1">
        <v>46270</v>
      </c>
      <c r="C15" s="2">
        <f>Tb_Emprestimos[[#This Row],[DATA]]</f>
        <v>46270</v>
      </c>
      <c r="D15" s="49">
        <v>45</v>
      </c>
      <c r="E15" s="30">
        <v>1150</v>
      </c>
      <c r="F15" s="29">
        <v>1.35</v>
      </c>
      <c r="G15" s="12"/>
      <c r="H15" s="12">
        <v>30724</v>
      </c>
      <c r="I15" t="s">
        <v>117</v>
      </c>
    </row>
    <row r="16" spans="1:9" x14ac:dyDescent="0.3">
      <c r="B16" s="1">
        <v>46270</v>
      </c>
      <c r="C16" s="2">
        <f>Tb_Emprestimos[[#This Row],[DATA]]</f>
        <v>46270</v>
      </c>
      <c r="D16" s="49">
        <v>58</v>
      </c>
      <c r="E16" s="30">
        <v>780</v>
      </c>
      <c r="F16" s="29">
        <v>1.7</v>
      </c>
      <c r="G16" s="12"/>
      <c r="H16" s="12">
        <v>23933</v>
      </c>
      <c r="I16" t="s">
        <v>39</v>
      </c>
    </row>
    <row r="17" spans="2:11" x14ac:dyDescent="0.3">
      <c r="B17" s="1">
        <v>46300</v>
      </c>
      <c r="C17" s="2">
        <f>Tb_Emprestimos[[#This Row],[DATA]]</f>
        <v>46300</v>
      </c>
      <c r="D17" s="49">
        <v>44</v>
      </c>
      <c r="E17" s="30">
        <v>1150</v>
      </c>
      <c r="F17" s="29">
        <v>1.35</v>
      </c>
      <c r="G17" s="12"/>
      <c r="H17" s="34">
        <v>29989</v>
      </c>
      <c r="I17" t="s">
        <v>117</v>
      </c>
      <c r="J17" s="31"/>
      <c r="K17" s="31"/>
    </row>
    <row r="18" spans="2:11" x14ac:dyDescent="0.3">
      <c r="B18" s="1">
        <v>46300</v>
      </c>
      <c r="C18" s="2">
        <f>Tb_Emprestimos[[#This Row],[DATA]]</f>
        <v>46300</v>
      </c>
      <c r="D18" s="49">
        <v>57</v>
      </c>
      <c r="E18" s="30">
        <v>780</v>
      </c>
      <c r="F18" s="29">
        <v>1.7</v>
      </c>
      <c r="G18" s="12"/>
      <c r="H18" s="12">
        <v>23560</v>
      </c>
      <c r="I18" t="s">
        <v>39</v>
      </c>
    </row>
    <row r="19" spans="2:11" x14ac:dyDescent="0.3">
      <c r="D19"/>
      <c r="E19"/>
      <c r="F19"/>
      <c r="G19"/>
    </row>
    <row r="20" spans="2:11" x14ac:dyDescent="0.3">
      <c r="D20"/>
      <c r="E20"/>
      <c r="F20"/>
      <c r="G20"/>
    </row>
    <row r="21" spans="2:11" x14ac:dyDescent="0.3">
      <c r="D21"/>
      <c r="E21"/>
      <c r="F21"/>
      <c r="G21"/>
    </row>
    <row r="22" spans="2:11" x14ac:dyDescent="0.3">
      <c r="D22"/>
      <c r="E22"/>
      <c r="F22"/>
      <c r="G22"/>
    </row>
    <row r="23" spans="2:11" x14ac:dyDescent="0.3">
      <c r="D23"/>
      <c r="E23"/>
      <c r="F23"/>
      <c r="G23"/>
    </row>
    <row r="24" spans="2:11" x14ac:dyDescent="0.3">
      <c r="D24"/>
      <c r="E24"/>
      <c r="F24"/>
      <c r="G24"/>
    </row>
    <row r="25" spans="2:11" x14ac:dyDescent="0.3">
      <c r="D25"/>
      <c r="E25"/>
      <c r="F25"/>
      <c r="G25"/>
    </row>
    <row r="26" spans="2:11" x14ac:dyDescent="0.3">
      <c r="D26"/>
      <c r="E26"/>
      <c r="F26"/>
      <c r="G26"/>
    </row>
    <row r="27" spans="2:11" x14ac:dyDescent="0.3">
      <c r="D27"/>
      <c r="E27"/>
      <c r="F27"/>
      <c r="G27"/>
    </row>
    <row r="28" spans="2:11" x14ac:dyDescent="0.3">
      <c r="D28"/>
      <c r="E28"/>
      <c r="F28"/>
      <c r="G28"/>
    </row>
    <row r="29" spans="2:11" x14ac:dyDescent="0.3">
      <c r="D29"/>
      <c r="E29"/>
      <c r="F29"/>
      <c r="G29"/>
    </row>
    <row r="30" spans="2:11" x14ac:dyDescent="0.3">
      <c r="D30"/>
      <c r="E30"/>
      <c r="F30"/>
      <c r="G30"/>
    </row>
    <row r="48" spans="7:7" x14ac:dyDescent="0.3">
      <c r="G48" s="42"/>
    </row>
  </sheetData>
  <mergeCells count="1">
    <mergeCell ref="C4:I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Atualiza_BD.M_AtualizaBD_Corrigido">
                <anchor moveWithCells="1" sizeWithCells="1">
                  <from>
                    <xdr:col>0</xdr:col>
                    <xdr:colOff>76200</xdr:colOff>
                    <xdr:row>3</xdr:row>
                    <xdr:rowOff>66675</xdr:rowOff>
                  </from>
                  <to>
                    <xdr:col>2</xdr:col>
                    <xdr:colOff>285750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AtualizarC9D9">
                <anchor moveWithCells="1" sizeWithCells="1">
                  <from>
                    <xdr:col>4</xdr:col>
                    <xdr:colOff>28575</xdr:colOff>
                    <xdr:row>8</xdr:row>
                    <xdr:rowOff>0</xdr:rowOff>
                  </from>
                  <to>
                    <xdr:col>5</xdr:col>
                    <xdr:colOff>657225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85C1C-3E06-4128-94AF-CD57B33F1B23}">
  <sheetPr codeName="Planilha4"/>
  <dimension ref="A1:AX59"/>
  <sheetViews>
    <sheetView topLeftCell="AD1" zoomScale="85" zoomScaleNormal="85" workbookViewId="0">
      <selection activeCell="S65" sqref="S65"/>
    </sheetView>
  </sheetViews>
  <sheetFormatPr defaultRowHeight="16.5" x14ac:dyDescent="0.3"/>
  <cols>
    <col min="2" max="2" width="11.5" bestFit="1" customWidth="1"/>
    <col min="3" max="3" width="19.5" bestFit="1" customWidth="1"/>
    <col min="4" max="4" width="11.375" bestFit="1" customWidth="1"/>
    <col min="5" max="5" width="12.375" bestFit="1" customWidth="1"/>
    <col min="6" max="6" width="13.125" bestFit="1" customWidth="1"/>
    <col min="7" max="7" width="20.25" bestFit="1" customWidth="1"/>
    <col min="8" max="8" width="2.625" customWidth="1"/>
    <col min="9" max="9" width="2.25" customWidth="1"/>
    <col min="10" max="10" width="19.625" customWidth="1"/>
    <col min="11" max="11" width="53.625" bestFit="1" customWidth="1"/>
    <col min="12" max="12" width="20.125" bestFit="1" customWidth="1"/>
    <col min="13" max="13" width="28.875" bestFit="1" customWidth="1"/>
    <col min="14" max="14" width="13.625" bestFit="1" customWidth="1"/>
    <col min="15" max="15" width="12.375" bestFit="1" customWidth="1"/>
    <col min="16" max="16" width="29.375" bestFit="1" customWidth="1"/>
    <col min="17" max="17" width="16.125" bestFit="1" customWidth="1"/>
    <col min="18" max="18" width="13.625" bestFit="1" customWidth="1"/>
    <col min="19" max="19" width="16.125" bestFit="1" customWidth="1"/>
    <col min="20" max="20" width="19.375" bestFit="1" customWidth="1"/>
    <col min="21" max="21" width="16.125" bestFit="1" customWidth="1"/>
    <col min="22" max="22" width="11.375" bestFit="1" customWidth="1"/>
    <col min="23" max="23" width="16.125" bestFit="1" customWidth="1"/>
    <col min="24" max="24" width="10.375" bestFit="1" customWidth="1"/>
    <col min="25" max="25" width="25.875" bestFit="1" customWidth="1"/>
    <col min="26" max="26" width="21.75" bestFit="1" customWidth="1"/>
    <col min="27" max="27" width="22.625" bestFit="1" customWidth="1"/>
    <col min="28" max="28" width="19.125" bestFit="1" customWidth="1"/>
    <col min="29" max="29" width="14.875" customWidth="1"/>
    <col min="30" max="30" width="11.5" bestFit="1" customWidth="1"/>
    <col min="31" max="31" width="12.125" bestFit="1" customWidth="1"/>
    <col min="34" max="34" width="14.875" bestFit="1" customWidth="1"/>
    <col min="35" max="35" width="11.125" bestFit="1" customWidth="1"/>
    <col min="36" max="36" width="17.375" bestFit="1" customWidth="1"/>
    <col min="37" max="37" width="18.5" bestFit="1" customWidth="1"/>
    <col min="40" max="40" width="20.625" bestFit="1" customWidth="1"/>
    <col min="41" max="41" width="26.375" bestFit="1" customWidth="1"/>
    <col min="45" max="45" width="19.125" bestFit="1" customWidth="1"/>
    <col min="46" max="46" width="11.625" bestFit="1" customWidth="1"/>
    <col min="47" max="47" width="11.875" bestFit="1" customWidth="1"/>
    <col min="50" max="50" width="11.5" bestFit="1" customWidth="1"/>
  </cols>
  <sheetData>
    <row r="1" spans="1:50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</row>
    <row r="2" spans="1:50" ht="57.75" x14ac:dyDescent="0.85">
      <c r="A2" s="7"/>
      <c r="B2" s="24" t="s">
        <v>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</row>
    <row r="3" spans="1:50" x14ac:dyDescent="0.3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</row>
    <row r="4" spans="1:50" x14ac:dyDescent="0.3">
      <c r="AN4" s="45" t="s">
        <v>40</v>
      </c>
      <c r="AO4" s="12">
        <f>IFERROR(INDEX(AO9:AO14,MATCH(9.99999999999999E+307,AO9:AO14)),0)</f>
        <v>9848.5499999999993</v>
      </c>
    </row>
    <row r="5" spans="1:50" ht="17.25" thickBot="1" x14ac:dyDescent="0.35">
      <c r="P5" s="4" t="s">
        <v>4</v>
      </c>
      <c r="Q5" t="s">
        <v>13</v>
      </c>
      <c r="AB5" s="23" t="s">
        <v>15</v>
      </c>
      <c r="AC5" s="23" t="s">
        <v>18</v>
      </c>
    </row>
    <row r="6" spans="1:50" ht="17.25" thickBot="1" x14ac:dyDescent="0.35">
      <c r="P6" s="8" t="s">
        <v>41</v>
      </c>
      <c r="Q6" s="8"/>
      <c r="R6" s="8"/>
      <c r="S6" s="8"/>
      <c r="U6" s="4" t="s">
        <v>4</v>
      </c>
      <c r="V6" t="s">
        <v>20</v>
      </c>
      <c r="X6" s="4" t="s">
        <v>4</v>
      </c>
      <c r="Y6" t="s">
        <v>20</v>
      </c>
      <c r="AA6" s="47" t="s">
        <v>42</v>
      </c>
      <c r="AB6" s="48">
        <f>IFERROR((GETPIVOTDATA("VlrReceita",$AA$8,"Status Pgto","Previsto")*100)/GETPIVOTDATA("VlrReceita",$AA$8),0)</f>
        <v>3.863379161458925</v>
      </c>
      <c r="AC6" s="48">
        <f>IFERROR((GETPIVOTDATA("VlrReceita",$AA$8,"Status Pgto","Realizado")*100)/GETPIVOTDATA("VlrReceita",$AA$8),0)</f>
        <v>96.136620838541077</v>
      </c>
      <c r="AH6" s="4" t="s">
        <v>4</v>
      </c>
      <c r="AI6" t="s">
        <v>19</v>
      </c>
      <c r="AN6" s="4" t="s">
        <v>5</v>
      </c>
      <c r="AO6" t="s">
        <v>22</v>
      </c>
      <c r="AR6" s="4" t="s">
        <v>43</v>
      </c>
      <c r="AS6" s="4" t="s">
        <v>69</v>
      </c>
      <c r="AW6" s="18" t="s">
        <v>44</v>
      </c>
      <c r="AX6" s="18" t="s">
        <v>45</v>
      </c>
    </row>
    <row r="7" spans="1:50" x14ac:dyDescent="0.3">
      <c r="P7" s="4" t="s">
        <v>67</v>
      </c>
      <c r="Q7" t="s">
        <v>46</v>
      </c>
      <c r="R7" t="s">
        <v>47</v>
      </c>
      <c r="U7" s="8" t="s">
        <v>48</v>
      </c>
      <c r="V7" s="8"/>
      <c r="X7" s="8" t="s">
        <v>49</v>
      </c>
      <c r="Y7" s="8"/>
      <c r="AA7" s="8" t="s">
        <v>50</v>
      </c>
      <c r="AB7" s="8"/>
      <c r="AC7" s="8"/>
      <c r="AD7" s="8"/>
      <c r="AH7" s="25" t="s">
        <v>51</v>
      </c>
      <c r="AI7" s="25"/>
      <c r="AN7" s="26" t="s">
        <v>52</v>
      </c>
      <c r="AO7" s="26"/>
      <c r="AR7" s="4" t="s">
        <v>67</v>
      </c>
      <c r="AS7" t="s">
        <v>39</v>
      </c>
      <c r="AT7" t="s">
        <v>117</v>
      </c>
      <c r="AU7" t="s">
        <v>68</v>
      </c>
      <c r="AW7" s="55">
        <f>MIN(Tb_Emprestimos[MÊS REF])</f>
        <v>46239</v>
      </c>
      <c r="AX7" s="19">
        <f>SUMIFS(Tb_Emprestimos[Sld Devedor],Tb_Emprestimos[MÊS REF],AW7)</f>
        <v>55750</v>
      </c>
    </row>
    <row r="8" spans="1:50" x14ac:dyDescent="0.3">
      <c r="B8" s="8" t="s">
        <v>53</v>
      </c>
      <c r="C8" s="8"/>
      <c r="F8" s="8" t="s">
        <v>54</v>
      </c>
      <c r="G8" s="8"/>
      <c r="J8" s="8" t="s">
        <v>55</v>
      </c>
      <c r="K8" s="8"/>
      <c r="L8" s="8"/>
      <c r="M8" s="8"/>
      <c r="P8" s="5" t="s">
        <v>16</v>
      </c>
      <c r="Q8" s="50">
        <v>5350</v>
      </c>
      <c r="R8" s="51">
        <v>9.7261674809680718E-2</v>
      </c>
      <c r="U8" s="4" t="s">
        <v>67</v>
      </c>
      <c r="V8" t="s">
        <v>56</v>
      </c>
      <c r="X8" s="4" t="s">
        <v>67</v>
      </c>
      <c r="Y8" t="s">
        <v>57</v>
      </c>
      <c r="AA8" s="4" t="s">
        <v>46</v>
      </c>
      <c r="AB8" s="4" t="s">
        <v>69</v>
      </c>
      <c r="AH8" s="4" t="s">
        <v>67</v>
      </c>
      <c r="AI8" t="s">
        <v>119</v>
      </c>
      <c r="AN8" s="4" t="s">
        <v>67</v>
      </c>
      <c r="AO8" t="s">
        <v>57</v>
      </c>
      <c r="AR8" s="41">
        <v>46239</v>
      </c>
      <c r="AS8" s="12">
        <v>24300</v>
      </c>
      <c r="AT8" s="12">
        <v>31450</v>
      </c>
      <c r="AU8" s="12">
        <v>55750</v>
      </c>
      <c r="AW8" s="55">
        <f>EDATE(AW7,1)</f>
        <v>46270</v>
      </c>
      <c r="AX8" s="19">
        <f>SUMIFS(Tb_Emprestimos[Sld Devedor],Tb_Emprestimos[MÊS REF],AW8)</f>
        <v>54657</v>
      </c>
    </row>
    <row r="9" spans="1:50" x14ac:dyDescent="0.3">
      <c r="B9" s="4" t="s">
        <v>58</v>
      </c>
      <c r="C9" t="s">
        <v>46</v>
      </c>
      <c r="F9" s="4" t="s">
        <v>67</v>
      </c>
      <c r="G9" t="s">
        <v>57</v>
      </c>
      <c r="J9" s="4" t="s">
        <v>67</v>
      </c>
      <c r="K9" t="s">
        <v>46</v>
      </c>
      <c r="L9" t="s">
        <v>57</v>
      </c>
      <c r="M9" t="s">
        <v>59</v>
      </c>
      <c r="P9" s="5" t="s">
        <v>14</v>
      </c>
      <c r="Q9" s="50">
        <v>46200</v>
      </c>
      <c r="R9" s="51">
        <v>0.83990455630042038</v>
      </c>
      <c r="U9" s="5" t="s">
        <v>21</v>
      </c>
      <c r="V9" s="21">
        <v>6.4478359407151506E-3</v>
      </c>
      <c r="X9" s="5" t="s">
        <v>21</v>
      </c>
      <c r="Y9" s="12">
        <v>278.10000000000002</v>
      </c>
      <c r="AA9" s="4" t="s">
        <v>67</v>
      </c>
      <c r="AB9" t="s">
        <v>15</v>
      </c>
      <c r="AC9" t="s">
        <v>18</v>
      </c>
      <c r="AD9" t="s">
        <v>68</v>
      </c>
      <c r="AF9" s="12"/>
      <c r="AG9" s="12"/>
      <c r="AH9" s="9">
        <v>46235</v>
      </c>
      <c r="AI9" s="56">
        <v>1500</v>
      </c>
      <c r="AN9" s="9">
        <v>46235</v>
      </c>
      <c r="AO9" s="12">
        <v>3184.6</v>
      </c>
      <c r="AR9" s="41">
        <v>46270</v>
      </c>
      <c r="AS9" s="12">
        <v>23933</v>
      </c>
      <c r="AT9" s="12">
        <v>30724</v>
      </c>
      <c r="AU9" s="12">
        <v>54657</v>
      </c>
      <c r="AW9" s="55">
        <f>EDATE(AW8,1)</f>
        <v>46300</v>
      </c>
      <c r="AX9" s="19">
        <f>SUMIFS(Tb_Emprestimos[Sld Devedor],Tb_Emprestimos[MÊS REF],AW9)</f>
        <v>53549</v>
      </c>
    </row>
    <row r="10" spans="1:50" x14ac:dyDescent="0.3">
      <c r="B10" s="9">
        <v>46235</v>
      </c>
      <c r="C10" s="6">
        <v>19662.400000000001</v>
      </c>
      <c r="F10" s="9">
        <v>46235</v>
      </c>
      <c r="G10" s="6">
        <v>15763.249999999998</v>
      </c>
      <c r="J10" s="9">
        <v>46235</v>
      </c>
      <c r="K10" s="12">
        <v>19662.400000000001</v>
      </c>
      <c r="L10" s="12">
        <v>15763.249999999998</v>
      </c>
      <c r="M10" s="12">
        <v>3899.1500000000033</v>
      </c>
      <c r="P10" s="5" t="s">
        <v>17</v>
      </c>
      <c r="Q10" s="12">
        <v>2500</v>
      </c>
      <c r="R10" s="22">
        <v>4.5449380752187254E-2</v>
      </c>
      <c r="U10" s="5" t="s">
        <v>22</v>
      </c>
      <c r="V10" s="21">
        <v>0.22834172834926353</v>
      </c>
      <c r="X10" s="5" t="s">
        <v>23</v>
      </c>
      <c r="Y10" s="12">
        <v>304.10000000000002</v>
      </c>
      <c r="AA10" s="9">
        <v>46235</v>
      </c>
      <c r="AB10" s="12"/>
      <c r="AC10" s="12">
        <v>19662.400000000001</v>
      </c>
      <c r="AD10" s="12">
        <v>19662.400000000001</v>
      </c>
      <c r="AF10" s="12"/>
      <c r="AG10" s="12"/>
      <c r="AH10" s="9">
        <v>46266</v>
      </c>
      <c r="AI10" s="56">
        <v>1500</v>
      </c>
      <c r="AN10" s="9">
        <v>46266</v>
      </c>
      <c r="AO10" s="12">
        <v>3402.15</v>
      </c>
      <c r="AR10" s="41">
        <v>46300</v>
      </c>
      <c r="AS10" s="12">
        <v>23560</v>
      </c>
      <c r="AT10" s="12">
        <v>29989</v>
      </c>
      <c r="AU10" s="12">
        <v>53549</v>
      </c>
      <c r="AW10" s="38"/>
      <c r="AX10" s="19"/>
    </row>
    <row r="11" spans="1:50" x14ac:dyDescent="0.3">
      <c r="B11" s="9">
        <v>46266</v>
      </c>
      <c r="C11" s="6">
        <v>17818.75</v>
      </c>
      <c r="F11" s="9">
        <v>46266</v>
      </c>
      <c r="G11" s="6">
        <v>15955.249999999998</v>
      </c>
      <c r="J11" s="9">
        <v>46266</v>
      </c>
      <c r="K11" s="12">
        <v>17818.75</v>
      </c>
      <c r="L11" s="12">
        <v>15955.249999999998</v>
      </c>
      <c r="M11" s="12">
        <v>1863.5000000000018</v>
      </c>
      <c r="P11" s="5" t="s">
        <v>78</v>
      </c>
      <c r="Q11" s="12">
        <v>956.25</v>
      </c>
      <c r="R11" s="22">
        <v>1.7384388137711624E-2</v>
      </c>
      <c r="U11" s="5" t="s">
        <v>26</v>
      </c>
      <c r="V11" s="21">
        <v>9.7239208685218764E-3</v>
      </c>
      <c r="X11" s="5" t="s">
        <v>24</v>
      </c>
      <c r="Y11" s="12">
        <v>389.70000000000005</v>
      </c>
      <c r="AA11" s="9">
        <v>46266</v>
      </c>
      <c r="AB11" s="12"/>
      <c r="AC11" s="12">
        <v>17818.75</v>
      </c>
      <c r="AD11" s="12">
        <v>17818.75</v>
      </c>
      <c r="AF11" s="12"/>
      <c r="AG11" s="12"/>
      <c r="AH11" s="9">
        <v>46296</v>
      </c>
      <c r="AI11" s="56">
        <v>1500</v>
      </c>
      <c r="AN11" s="9">
        <v>46296</v>
      </c>
      <c r="AO11" s="12">
        <v>3261.8</v>
      </c>
      <c r="AW11" s="38"/>
      <c r="AX11" s="19"/>
    </row>
    <row r="12" spans="1:50" x14ac:dyDescent="0.3">
      <c r="B12" s="9">
        <v>46296</v>
      </c>
      <c r="C12" s="6">
        <v>17525.099999999999</v>
      </c>
      <c r="F12" s="9">
        <v>46296</v>
      </c>
      <c r="G12" s="6">
        <v>15912.249999999996</v>
      </c>
      <c r="J12" s="9">
        <v>46296</v>
      </c>
      <c r="K12" s="12">
        <v>17525.099999999999</v>
      </c>
      <c r="L12" s="12">
        <v>15912.249999999996</v>
      </c>
      <c r="M12" s="12">
        <v>1612.8500000000022</v>
      </c>
      <c r="P12" s="5" t="s">
        <v>68</v>
      </c>
      <c r="Q12" s="12">
        <v>55006.25</v>
      </c>
      <c r="R12" s="22">
        <v>1</v>
      </c>
      <c r="U12" s="5" t="s">
        <v>27</v>
      </c>
      <c r="V12" s="21">
        <v>5.4601415463445442E-2</v>
      </c>
      <c r="X12" s="5" t="s">
        <v>26</v>
      </c>
      <c r="Y12" s="12">
        <v>419.4</v>
      </c>
      <c r="AA12" s="9">
        <v>46296</v>
      </c>
      <c r="AB12" s="12">
        <v>2125.1</v>
      </c>
      <c r="AC12" s="12">
        <v>15400</v>
      </c>
      <c r="AD12" s="12">
        <v>17525.099999999999</v>
      </c>
      <c r="AF12" s="12"/>
      <c r="AG12" s="12"/>
      <c r="AH12" s="9" t="s">
        <v>68</v>
      </c>
      <c r="AI12" s="56">
        <v>4500</v>
      </c>
      <c r="AN12" s="9" t="s">
        <v>68</v>
      </c>
      <c r="AO12" s="12">
        <v>9848.5499999999993</v>
      </c>
      <c r="AW12" s="18"/>
      <c r="AX12" s="18"/>
    </row>
    <row r="13" spans="1:50" x14ac:dyDescent="0.3">
      <c r="B13" s="9" t="s">
        <v>68</v>
      </c>
      <c r="C13" s="6">
        <v>55006.25</v>
      </c>
      <c r="F13" s="9" t="s">
        <v>68</v>
      </c>
      <c r="G13" s="6">
        <v>47630.749999999993</v>
      </c>
      <c r="J13" s="9" t="s">
        <v>68</v>
      </c>
      <c r="K13" s="12">
        <v>55006.25</v>
      </c>
      <c r="L13" s="12">
        <v>47630.749999999993</v>
      </c>
      <c r="M13" s="12">
        <v>7375.4999999999709</v>
      </c>
      <c r="U13" s="5" t="s">
        <v>23</v>
      </c>
      <c r="V13" s="21">
        <v>7.0506541156831254E-3</v>
      </c>
      <c r="X13" s="5" t="s">
        <v>25</v>
      </c>
      <c r="Y13" s="12">
        <v>749.45</v>
      </c>
      <c r="AA13" s="9" t="s">
        <v>68</v>
      </c>
      <c r="AB13" s="12">
        <v>2125.1</v>
      </c>
      <c r="AC13" s="12">
        <v>52881.15</v>
      </c>
      <c r="AD13" s="12">
        <v>55006.25</v>
      </c>
      <c r="AF13" s="12"/>
      <c r="AG13" s="12"/>
      <c r="AW13" s="18"/>
      <c r="AX13" s="18"/>
    </row>
    <row r="14" spans="1:50" x14ac:dyDescent="0.3">
      <c r="U14" s="5" t="s">
        <v>24</v>
      </c>
      <c r="V14" s="21">
        <v>9.0353170301930748E-3</v>
      </c>
      <c r="X14" s="5" t="s">
        <v>107</v>
      </c>
      <c r="Y14" s="12">
        <v>1042.4000000000001</v>
      </c>
      <c r="AF14" s="12"/>
      <c r="AG14" s="12"/>
      <c r="AW14" s="18"/>
      <c r="AX14" s="18"/>
    </row>
    <row r="15" spans="1:50" x14ac:dyDescent="0.3">
      <c r="P15" s="5"/>
      <c r="Q15" s="12"/>
      <c r="R15" s="22"/>
      <c r="U15" s="5" t="s">
        <v>25</v>
      </c>
      <c r="V15" s="20">
        <v>1.7376233893451887E-2</v>
      </c>
      <c r="X15" s="5" t="s">
        <v>101</v>
      </c>
      <c r="Y15" s="12">
        <v>1140</v>
      </c>
      <c r="AF15" s="12"/>
      <c r="AG15" s="12"/>
    </row>
    <row r="16" spans="1:50" x14ac:dyDescent="0.3">
      <c r="R16" s="22"/>
      <c r="U16" s="5" t="s">
        <v>84</v>
      </c>
      <c r="V16" s="20">
        <v>0.12445297148785957</v>
      </c>
      <c r="X16" s="5" t="s">
        <v>96</v>
      </c>
      <c r="Y16" s="12">
        <v>1275</v>
      </c>
    </row>
    <row r="17" spans="2:25" x14ac:dyDescent="0.3">
      <c r="R17" s="22"/>
      <c r="U17" s="5" t="s">
        <v>88</v>
      </c>
      <c r="V17" s="20">
        <v>0.13424297050248371</v>
      </c>
      <c r="X17" s="5" t="s">
        <v>94</v>
      </c>
      <c r="Y17" s="12">
        <v>2107.1999999999998</v>
      </c>
    </row>
    <row r="18" spans="2:25" x14ac:dyDescent="0.3">
      <c r="B18" s="9"/>
      <c r="C18" s="6"/>
      <c r="F18" s="9"/>
      <c r="G18" s="6"/>
      <c r="J18" s="9"/>
      <c r="K18" s="12"/>
      <c r="L18" s="12"/>
      <c r="M18" s="12"/>
      <c r="R18" s="22"/>
      <c r="U18" s="5" t="s">
        <v>94</v>
      </c>
      <c r="V18" s="20">
        <v>4.8856094549712202E-2</v>
      </c>
      <c r="X18" s="5" t="s">
        <v>27</v>
      </c>
      <c r="Y18" s="12">
        <v>2355</v>
      </c>
    </row>
    <row r="19" spans="2:25" x14ac:dyDescent="0.3">
      <c r="B19" s="9"/>
      <c r="C19" s="6"/>
      <c r="F19" s="9"/>
      <c r="G19" s="6"/>
      <c r="J19" s="9"/>
      <c r="K19" s="12"/>
      <c r="L19" s="12"/>
      <c r="M19" s="12"/>
      <c r="R19" s="22"/>
      <c r="U19" s="5" t="s">
        <v>96</v>
      </c>
      <c r="V19" s="20">
        <v>2.956127588785263E-2</v>
      </c>
      <c r="X19" s="5" t="s">
        <v>98</v>
      </c>
      <c r="Y19" s="12">
        <v>2464.1</v>
      </c>
    </row>
    <row r="20" spans="2:25" x14ac:dyDescent="0.3">
      <c r="B20" s="9"/>
      <c r="C20" s="6"/>
      <c r="F20" s="9"/>
      <c r="G20" s="6"/>
      <c r="J20" s="9"/>
      <c r="K20" s="12"/>
      <c r="L20" s="12"/>
      <c r="M20" s="12"/>
      <c r="R20" s="22"/>
      <c r="U20" s="5" t="s">
        <v>98</v>
      </c>
      <c r="V20" s="20">
        <v>5.7130933266868751E-2</v>
      </c>
      <c r="X20" s="5" t="s">
        <v>84</v>
      </c>
      <c r="Y20" s="12">
        <v>5367.75</v>
      </c>
    </row>
    <row r="21" spans="2:25" x14ac:dyDescent="0.3">
      <c r="B21" s="9"/>
      <c r="C21" s="6"/>
      <c r="F21" s="9"/>
      <c r="G21" s="6"/>
      <c r="J21" s="9"/>
      <c r="K21" s="12"/>
      <c r="L21" s="12"/>
      <c r="M21" s="12"/>
      <c r="R21" s="22"/>
      <c r="U21" s="5" t="s">
        <v>101</v>
      </c>
      <c r="V21" s="20">
        <v>2.6431258440903528E-2</v>
      </c>
      <c r="X21" s="5" t="s">
        <v>88</v>
      </c>
      <c r="Y21" s="12">
        <v>5790</v>
      </c>
    </row>
    <row r="22" spans="2:25" x14ac:dyDescent="0.3">
      <c r="B22" s="9"/>
      <c r="C22" s="6"/>
      <c r="F22" s="9"/>
      <c r="G22" s="6"/>
      <c r="J22" s="9"/>
      <c r="K22" s="12"/>
      <c r="L22" s="12"/>
      <c r="M22" s="12"/>
      <c r="R22" s="22"/>
      <c r="U22" s="5" t="s">
        <v>103</v>
      </c>
      <c r="V22" s="20">
        <v>0.22257901844971392</v>
      </c>
      <c r="X22" s="5" t="s">
        <v>103</v>
      </c>
      <c r="Y22" s="12">
        <v>9600</v>
      </c>
    </row>
    <row r="23" spans="2:25" x14ac:dyDescent="0.3">
      <c r="B23" s="9"/>
      <c r="C23" s="6"/>
      <c r="F23" s="9"/>
      <c r="G23" s="6"/>
      <c r="J23" s="9"/>
      <c r="K23" s="12"/>
      <c r="L23" s="12"/>
      <c r="M23" s="12"/>
      <c r="P23" s="5"/>
      <c r="Q23" s="12"/>
      <c r="R23" s="22"/>
      <c r="U23" s="5" t="s">
        <v>107</v>
      </c>
      <c r="V23" s="20">
        <v>2.4168371753331436E-2</v>
      </c>
      <c r="X23" s="5" t="s">
        <v>22</v>
      </c>
      <c r="Y23" s="12">
        <v>9848.5499999999993</v>
      </c>
    </row>
    <row r="24" spans="2:25" x14ac:dyDescent="0.3">
      <c r="B24" s="9"/>
      <c r="C24" s="6"/>
      <c r="F24" s="9"/>
      <c r="G24" s="6"/>
      <c r="J24" s="9"/>
      <c r="K24" s="12"/>
      <c r="L24" s="12"/>
      <c r="M24" s="12"/>
      <c r="P24" s="5"/>
      <c r="Q24" s="12"/>
      <c r="R24" s="22"/>
      <c r="U24" s="5" t="s">
        <v>68</v>
      </c>
      <c r="V24" s="20">
        <v>1</v>
      </c>
      <c r="X24" s="5" t="s">
        <v>68</v>
      </c>
      <c r="Y24" s="12">
        <v>43130.750000000007</v>
      </c>
    </row>
    <row r="25" spans="2:25" x14ac:dyDescent="0.3">
      <c r="B25" s="9"/>
      <c r="C25" s="6"/>
      <c r="F25" s="9"/>
      <c r="G25" s="6"/>
      <c r="J25" s="9"/>
      <c r="K25" s="12"/>
      <c r="L25" s="12"/>
      <c r="M25" s="12"/>
      <c r="P25" s="5"/>
      <c r="Q25" s="12"/>
      <c r="R25" s="22"/>
    </row>
    <row r="26" spans="2:25" x14ac:dyDescent="0.3">
      <c r="B26" s="9"/>
      <c r="C26" s="6"/>
      <c r="F26" s="9"/>
      <c r="G26" s="6"/>
      <c r="J26" s="9"/>
      <c r="K26" s="12"/>
      <c r="L26" s="12"/>
      <c r="M26" s="12"/>
      <c r="P26" s="5"/>
      <c r="Q26" s="12"/>
      <c r="R26" s="22"/>
    </row>
    <row r="27" spans="2:25" x14ac:dyDescent="0.3">
      <c r="B27" s="9"/>
      <c r="C27" s="6"/>
      <c r="F27" s="9"/>
      <c r="G27" s="6"/>
      <c r="J27" s="9"/>
      <c r="K27" s="12"/>
      <c r="L27" s="12"/>
      <c r="M27" s="12"/>
      <c r="P27" s="5"/>
      <c r="Q27" s="12"/>
      <c r="R27" s="22"/>
    </row>
    <row r="28" spans="2:25" x14ac:dyDescent="0.3">
      <c r="B28" s="9"/>
      <c r="C28" s="6"/>
      <c r="F28" s="9"/>
      <c r="G28" s="6"/>
      <c r="J28" s="9"/>
      <c r="K28" s="12"/>
      <c r="L28" s="12"/>
      <c r="M28" s="12"/>
      <c r="P28" s="5"/>
      <c r="Q28" s="12"/>
      <c r="R28" s="22"/>
    </row>
    <row r="29" spans="2:25" x14ac:dyDescent="0.3">
      <c r="B29" s="9"/>
      <c r="C29" s="6"/>
      <c r="F29" s="9"/>
      <c r="G29" s="6"/>
      <c r="J29" s="9"/>
      <c r="K29" s="12"/>
      <c r="L29" s="12"/>
      <c r="M29" s="12"/>
      <c r="P29" s="5"/>
      <c r="Q29" s="12"/>
      <c r="R29" s="22"/>
    </row>
    <row r="30" spans="2:25" x14ac:dyDescent="0.3">
      <c r="B30" s="9"/>
      <c r="C30" s="6"/>
      <c r="F30" s="9"/>
      <c r="G30" s="6"/>
      <c r="J30" s="9"/>
      <c r="K30" s="12"/>
      <c r="L30" s="12"/>
      <c r="M30" s="12"/>
      <c r="P30" s="5"/>
      <c r="Q30" s="12"/>
      <c r="R30" s="22"/>
    </row>
    <row r="31" spans="2:25" x14ac:dyDescent="0.3">
      <c r="B31" s="9"/>
      <c r="C31" s="6"/>
      <c r="F31" s="9"/>
      <c r="G31" s="6"/>
      <c r="J31" s="9"/>
      <c r="K31" s="12"/>
      <c r="L31" s="12"/>
      <c r="M31" s="12"/>
      <c r="P31" s="5"/>
      <c r="Q31" s="12"/>
      <c r="R31" s="22"/>
    </row>
    <row r="32" spans="2:25" x14ac:dyDescent="0.3">
      <c r="B32" s="9"/>
      <c r="C32" s="6"/>
      <c r="F32" s="9"/>
      <c r="G32" s="6"/>
      <c r="J32" s="9"/>
      <c r="K32" s="12"/>
      <c r="L32" s="12"/>
      <c r="M32" s="12"/>
      <c r="P32" s="5"/>
      <c r="Q32" s="12"/>
      <c r="R32" s="22"/>
    </row>
    <row r="33" spans="2:18" x14ac:dyDescent="0.3">
      <c r="B33" s="9"/>
      <c r="C33" s="6"/>
      <c r="F33" s="9"/>
      <c r="G33" s="6"/>
      <c r="J33" s="9"/>
      <c r="K33" s="12"/>
      <c r="L33" s="12"/>
      <c r="M33" s="12"/>
      <c r="P33" s="5"/>
      <c r="Q33" s="12"/>
      <c r="R33" s="22"/>
    </row>
    <row r="34" spans="2:18" x14ac:dyDescent="0.3">
      <c r="B34" s="9"/>
      <c r="C34" s="6"/>
      <c r="F34" s="9"/>
      <c r="G34" s="6"/>
      <c r="J34" s="9"/>
      <c r="K34" s="12"/>
      <c r="L34" s="12"/>
      <c r="M34" s="12"/>
      <c r="P34" s="5"/>
      <c r="Q34" s="12"/>
      <c r="R34" s="22"/>
    </row>
    <row r="35" spans="2:18" x14ac:dyDescent="0.3">
      <c r="B35" s="9"/>
      <c r="C35" s="6"/>
      <c r="F35" s="9"/>
      <c r="G35" s="6"/>
      <c r="J35" s="9"/>
      <c r="K35" s="12"/>
      <c r="L35" s="12"/>
      <c r="M35" s="12"/>
      <c r="P35" s="5"/>
      <c r="Q35" s="12"/>
      <c r="R35" s="22"/>
    </row>
    <row r="50" spans="16:35" x14ac:dyDescent="0.3">
      <c r="AA50" s="23"/>
    </row>
    <row r="51" spans="16:35" x14ac:dyDescent="0.3">
      <c r="P51" s="8" t="s">
        <v>60</v>
      </c>
      <c r="Q51" s="8"/>
      <c r="AA51" s="4" t="s">
        <v>57</v>
      </c>
      <c r="AB51" s="4" t="s">
        <v>69</v>
      </c>
    </row>
    <row r="52" spans="16:35" x14ac:dyDescent="0.3">
      <c r="P52" s="13" t="s">
        <v>61</v>
      </c>
      <c r="Q52" s="14">
        <f>GETPIVOTDATA("VlrReceita",$B$9)</f>
        <v>55006.25</v>
      </c>
      <c r="AA52" s="4" t="s">
        <v>67</v>
      </c>
      <c r="AB52" t="s">
        <v>15</v>
      </c>
      <c r="AC52" t="s">
        <v>18</v>
      </c>
      <c r="AD52" t="s">
        <v>68</v>
      </c>
    </row>
    <row r="53" spans="16:35" x14ac:dyDescent="0.3">
      <c r="P53" s="13" t="s">
        <v>62</v>
      </c>
      <c r="Q53" s="15">
        <f>GETPIVOTDATA("VlrDespesa",$F$9)</f>
        <v>47630.749999999993</v>
      </c>
      <c r="AA53" s="9">
        <v>46235</v>
      </c>
      <c r="AB53" s="12"/>
      <c r="AC53" s="12">
        <v>15763.249999999998</v>
      </c>
      <c r="AD53" s="12">
        <v>15763.249999999998</v>
      </c>
      <c r="AF53" s="12"/>
      <c r="AG53" s="12"/>
      <c r="AH53" s="12"/>
      <c r="AI53" s="12"/>
    </row>
    <row r="54" spans="16:35" x14ac:dyDescent="0.3">
      <c r="AA54" s="9">
        <v>46266</v>
      </c>
      <c r="AB54" s="12"/>
      <c r="AC54" s="12">
        <v>15955.249999999998</v>
      </c>
      <c r="AD54" s="12">
        <v>15955.249999999998</v>
      </c>
      <c r="AF54" s="12"/>
      <c r="AG54" s="12"/>
      <c r="AH54" s="12"/>
      <c r="AI54" s="12"/>
    </row>
    <row r="55" spans="16:35" x14ac:dyDescent="0.3">
      <c r="P55" s="13" t="s">
        <v>63</v>
      </c>
      <c r="Q55" s="19">
        <f>GETPIVOTDATA("VlrDespesa",$AA$51,"Status Pgto","Realizado")</f>
        <v>34361.049999999996</v>
      </c>
      <c r="AA55" s="9">
        <v>46296</v>
      </c>
      <c r="AB55" s="12">
        <v>13269.7</v>
      </c>
      <c r="AC55" s="12">
        <v>2642.55</v>
      </c>
      <c r="AD55" s="12">
        <v>15912.25</v>
      </c>
      <c r="AF55" s="12"/>
      <c r="AG55" s="12"/>
      <c r="AH55" s="12"/>
      <c r="AI55" s="12"/>
    </row>
    <row r="56" spans="16:35" ht="17.25" thickBot="1" x14ac:dyDescent="0.35">
      <c r="P56" s="13" t="s">
        <v>64</v>
      </c>
      <c r="Q56" s="19">
        <f>IFERROR(GETPIVOTDATA("VlrDespesa",$AA$51,"Status Pgto","Previsto"),0)</f>
        <v>13269.7</v>
      </c>
      <c r="AA56" s="9" t="s">
        <v>68</v>
      </c>
      <c r="AB56" s="12">
        <v>13269.7</v>
      </c>
      <c r="AC56" s="12">
        <v>34361.049999999996</v>
      </c>
      <c r="AD56" s="12">
        <v>47630.75</v>
      </c>
      <c r="AF56" s="12"/>
      <c r="AG56" s="12"/>
      <c r="AH56" s="12"/>
      <c r="AI56" s="12"/>
    </row>
    <row r="57" spans="16:35" x14ac:dyDescent="0.3">
      <c r="P57" s="16" t="s">
        <v>65</v>
      </c>
      <c r="Q57" s="17">
        <f>GETPIVOTDATA("VlrReceita",$B$9)-Q55</f>
        <v>20645.200000000004</v>
      </c>
      <c r="AF57" s="12"/>
      <c r="AG57" s="12"/>
      <c r="AH57" s="12"/>
      <c r="AI57" s="12"/>
    </row>
    <row r="58" spans="16:35" x14ac:dyDescent="0.3">
      <c r="AF58" s="12"/>
      <c r="AG58" s="12"/>
      <c r="AH58" s="12"/>
      <c r="AI58" s="12"/>
    </row>
    <row r="59" spans="16:35" x14ac:dyDescent="0.3">
      <c r="AF59" s="12"/>
      <c r="AG59" s="12"/>
      <c r="AH59" s="12"/>
      <c r="AI59" s="12"/>
    </row>
  </sheetData>
  <pageMargins left="0.511811024" right="0.511811024" top="0.78740157499999996" bottom="0.78740157499999996" header="0.31496062000000002" footer="0.31496062000000002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14" name="Button 1">
              <controlPr defaultSize="0" print="0" autoFill="0" autoPict="0" macro="[0]!Atualiza_BD.M_AtualizaBD_Corrigido">
                <anchor moveWithCells="1" sizeWithCells="1">
                  <from>
                    <xdr:col>0</xdr:col>
                    <xdr:colOff>85725</xdr:colOff>
                    <xdr:row>2</xdr:row>
                    <xdr:rowOff>123825</xdr:rowOff>
                  </from>
                  <to>
                    <xdr:col>3</xdr:col>
                    <xdr:colOff>361950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B8A7F-E7A4-4B9B-B9AB-C28ED18F0AA7}">
  <dimension ref="A1:D21"/>
  <sheetViews>
    <sheetView workbookViewId="0"/>
  </sheetViews>
  <sheetFormatPr defaultRowHeight="16.5" x14ac:dyDescent="0.3"/>
  <cols>
    <col min="1" max="1" width="40.625" customWidth="1"/>
    <col min="2" max="2" width="20.625" customWidth="1"/>
  </cols>
  <sheetData>
    <row r="1" spans="1:4" x14ac:dyDescent="0.3">
      <c r="A1" s="23" t="s">
        <v>5</v>
      </c>
      <c r="B1" s="23" t="s">
        <v>9</v>
      </c>
      <c r="D1" t="s">
        <v>66</v>
      </c>
    </row>
    <row r="2" spans="1:4" x14ac:dyDescent="0.3">
      <c r="A2" t="s">
        <v>14</v>
      </c>
      <c r="B2" t="s">
        <v>73</v>
      </c>
    </row>
    <row r="3" spans="1:4" x14ac:dyDescent="0.3">
      <c r="A3" t="s">
        <v>16</v>
      </c>
      <c r="B3" t="s">
        <v>71</v>
      </c>
    </row>
    <row r="4" spans="1:4" x14ac:dyDescent="0.3">
      <c r="A4" t="s">
        <v>17</v>
      </c>
      <c r="B4" t="s">
        <v>80</v>
      </c>
    </row>
    <row r="5" spans="1:4" x14ac:dyDescent="0.3">
      <c r="A5" t="s">
        <v>78</v>
      </c>
    </row>
    <row r="6" spans="1:4" x14ac:dyDescent="0.3">
      <c r="A6" t="s">
        <v>28</v>
      </c>
    </row>
    <row r="7" spans="1:4" x14ac:dyDescent="0.3">
      <c r="A7" t="s">
        <v>103</v>
      </c>
    </row>
    <row r="8" spans="1:4" x14ac:dyDescent="0.3">
      <c r="A8" t="s">
        <v>27</v>
      </c>
    </row>
    <row r="9" spans="1:4" x14ac:dyDescent="0.3">
      <c r="A9" t="s">
        <v>25</v>
      </c>
    </row>
    <row r="10" spans="1:4" x14ac:dyDescent="0.3">
      <c r="A10" t="s">
        <v>23</v>
      </c>
    </row>
    <row r="11" spans="1:4" x14ac:dyDescent="0.3">
      <c r="A11" t="s">
        <v>24</v>
      </c>
    </row>
    <row r="12" spans="1:4" x14ac:dyDescent="0.3">
      <c r="A12" t="s">
        <v>26</v>
      </c>
    </row>
    <row r="13" spans="1:4" x14ac:dyDescent="0.3">
      <c r="A13" t="s">
        <v>84</v>
      </c>
    </row>
    <row r="14" spans="1:4" x14ac:dyDescent="0.3">
      <c r="A14" t="s">
        <v>96</v>
      </c>
    </row>
    <row r="15" spans="1:4" x14ac:dyDescent="0.3">
      <c r="A15" t="s">
        <v>94</v>
      </c>
    </row>
    <row r="16" spans="1:4" x14ac:dyDescent="0.3">
      <c r="A16" t="s">
        <v>98</v>
      </c>
    </row>
    <row r="17" spans="1:1" x14ac:dyDescent="0.3">
      <c r="A17" t="s">
        <v>101</v>
      </c>
    </row>
    <row r="18" spans="1:1" x14ac:dyDescent="0.3">
      <c r="A18" t="s">
        <v>107</v>
      </c>
    </row>
    <row r="19" spans="1:1" x14ac:dyDescent="0.3">
      <c r="A19" t="s">
        <v>21</v>
      </c>
    </row>
    <row r="20" spans="1:1" x14ac:dyDescent="0.3">
      <c r="A20" t="s">
        <v>88</v>
      </c>
    </row>
    <row r="21" spans="1:1" x14ac:dyDescent="0.3">
      <c r="A21" t="s">
        <v>22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FFB4F3-CCA8-481F-A574-916A486B0C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DASHBOARD</vt:lpstr>
      <vt:lpstr>LANCAMENTOS</vt:lpstr>
      <vt:lpstr>EMPRESTIMOS</vt:lpstr>
      <vt:lpstr>ANALISES</vt:lpstr>
      <vt:lpstr>Listas</vt:lpstr>
      <vt:lpstr>ListaCategoria</vt:lpstr>
      <vt:lpstr>ListaPessoas</vt:lpstr>
      <vt:lpstr>Tb_cartoes</vt:lpstr>
      <vt:lpstr>tb_lancamentos</vt:lpstr>
      <vt:lpstr>tBase</vt:lpstr>
      <vt:lpstr>TIPO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2026-10-05T11:41:17Z</dcterms:created>
  <dcterms:modified xsi:type="dcterms:W3CDTF">2026-10-05T11:41:17Z</dcterms:modified>
  <cp:category/>
  <cp:contentStatus/>
</cp:coreProperties>
</file>