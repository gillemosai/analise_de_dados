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filterPrivacy="1" codeName="EstaPastaDeTrabalho" hidePivotFieldList="1"/>
  <xr:revisionPtr revIDLastSave="0" documentId="8_{25DDDE66-3599-4893-AB32-6B0FA53C4778}" xr6:coauthVersionLast="47" xr6:coauthVersionMax="47" xr10:uidLastSave="{00000000-0000-0000-0000-000000000000}"/>
  <workbookProtection lockStructure="1"/>
  <bookViews>
    <workbookView showSheetTabs="0" xWindow="-120" yWindow="-120" windowWidth="38640" windowHeight="21120" xr2:uid="{10AC0F5E-A229-4ACB-BBFE-FDC59F45848F}"/>
  </bookViews>
  <sheets>
    <sheet name="DASHBOARD" sheetId="3" r:id="rId1"/>
    <sheet name="LANCAMENTOS" sheetId="1" r:id="rId2"/>
    <sheet name="EMPRESTIMOS" sheetId="9" r:id="rId3"/>
    <sheet name="ANALISES" sheetId="5" state="hidden" r:id="rId4"/>
    <sheet name="Listas" sheetId="11" state="hidden" r:id="rId5"/>
  </sheets>
  <definedNames>
    <definedName name="_xleta.TODAY" hidden="1" xlm="1">#NAME?</definedName>
    <definedName name="ListaCategoria">Listas!$A$2:$A$200</definedName>
    <definedName name="ListaPessoas">Listas!$B$2:$B$200</definedName>
    <definedName name="_xlnm.Print_Area" localSheetId="0">DASHBOARD!$A$1:$Y$52</definedName>
    <definedName name="_xlnm.Print_Titles" localSheetId="1">LANCAMENTOS!$9:$9</definedName>
    <definedName name="SegmentaçãodeDados_MÊS_REF">#N/A</definedName>
    <definedName name="SegmentaçãodeDados_Status_Pgto">#N/A</definedName>
    <definedName name="Slicer_MÊS_REF">#N/A</definedName>
    <definedName name="Slicer_Status_Pgto">#N/A</definedName>
    <definedName name="Tb_cartoes">ANALISES!$AN$8:$AO$13</definedName>
    <definedName name="tb_lancamentos">BaseLanc[#All]</definedName>
    <definedName name="tBase">BaseLanc[]</definedName>
    <definedName name="TIPO">BaseLanc[TIPO]</definedName>
  </definedNames>
  <calcPr calcId="191029"/>
  <pivotCaches>
    <pivotCache cacheId="9" r:id="rId6"/>
    <pivotCache cacheId="14" r:id="rId7"/>
    <pivotCache cacheId="19"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1" l="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AX9" i="5"/>
  <c r="AW9" i="5"/>
  <c r="AX8" i="5"/>
  <c r="AW8" i="5"/>
  <c r="AX7" i="5"/>
  <c r="AW7" i="5"/>
  <c r="AV9" i="5"/>
  <c r="AV8" i="5"/>
  <c r="AV7" i="5"/>
  <c r="AO4" i="5"/>
  <c r="D9" i="9"/>
  <c r="C9" i="9"/>
  <c r="C18" i="9"/>
  <c r="C17" i="9"/>
  <c r="C16" i="9"/>
  <c r="C15" i="9"/>
  <c r="C14" i="9"/>
  <c r="C13" i="9"/>
  <c r="AC6" i="5"/>
  <c r="AB6" i="5"/>
  <c r="Q56" i="5"/>
  <c r="Q52" i="5"/>
  <c r="Q53" i="5"/>
  <c r="Q55" i="5"/>
  <c r="Q57" i="5" s="1"/>
</calcChain>
</file>

<file path=xl/sharedStrings.xml><?xml version="1.0" encoding="utf-8"?>
<sst xmlns="http://schemas.openxmlformats.org/spreadsheetml/2006/main" count="754" uniqueCount="123">
  <si>
    <t>Meu Controle Financeiro</t>
  </si>
  <si>
    <t>DT Compra</t>
  </si>
  <si>
    <t>DT Venc</t>
  </si>
  <si>
    <t>MÊS REF</t>
  </si>
  <si>
    <t>TIPO</t>
  </si>
  <si>
    <t>Categoria</t>
  </si>
  <si>
    <t>VlrReceita</t>
  </si>
  <si>
    <t>VlrDespesa</t>
  </si>
  <si>
    <t>Descricao</t>
  </si>
  <si>
    <t>Pessoa</t>
  </si>
  <si>
    <t>Status Pgto</t>
  </si>
  <si>
    <t>Obs (OPCIONAL)</t>
  </si>
  <si>
    <t>PRI</t>
  </si>
  <si>
    <t>RECEITA</t>
  </si>
  <si>
    <t>(R) SALARIO</t>
  </si>
  <si>
    <t>Previsto</t>
  </si>
  <si>
    <t>(R) EXTRA</t>
  </si>
  <si>
    <t>(R) BONUS</t>
  </si>
  <si>
    <t>Realizado</t>
  </si>
  <si>
    <t>INVEST</t>
  </si>
  <si>
    <t>DESPESA</t>
  </si>
  <si>
    <t>(D) ASSINATURAS</t>
  </si>
  <si>
    <t>(D) CARTAO DE CREDITO</t>
  </si>
  <si>
    <t>(D) MORADIA - AGUA</t>
  </si>
  <si>
    <t>(D) MORADIA - INTERNET</t>
  </si>
  <si>
    <t>(D) MORADIA - ENERGIA</t>
  </si>
  <si>
    <t>(D) CELULAR</t>
  </si>
  <si>
    <t>(D) CONDOMINIO</t>
  </si>
  <si>
    <t>(I) INVESTIMENTO</t>
  </si>
  <si>
    <t>DATA</t>
  </si>
  <si>
    <t>PRAZO(m)</t>
  </si>
  <si>
    <t>Vlr.Prest</t>
  </si>
  <si>
    <t>TAXA(a.m)</t>
  </si>
  <si>
    <t>Vlr LIQ</t>
  </si>
  <si>
    <t>Sld Devedor</t>
  </si>
  <si>
    <t>DESCRIÇÃO</t>
  </si>
  <si>
    <t>CONSIGNADO</t>
  </si>
  <si>
    <t>VALOR CARTAO</t>
  </si>
  <si>
    <t>DIST DE RECEITAS</t>
  </si>
  <si>
    <t>Status Percentual</t>
  </si>
  <si>
    <t>Soma de Sld Devedor</t>
  </si>
  <si>
    <t>Periodo</t>
  </si>
  <si>
    <t>Total</t>
  </si>
  <si>
    <t>Soma de VlrReceita</t>
  </si>
  <si>
    <t>PercReceita</t>
  </si>
  <si>
    <t>DIST DE DESPESAS %</t>
  </si>
  <si>
    <t>DIST DE DESPESAS VLR</t>
  </si>
  <si>
    <t>STATUS PAGAMENTO RECEITAS</t>
  </si>
  <si>
    <t>INVESTIMENTOS</t>
  </si>
  <si>
    <t>CARTOES DE CREDITO</t>
  </si>
  <si>
    <t>TOTAL RECEITAS</t>
  </si>
  <si>
    <t>TOTAL DESPESAS</t>
  </si>
  <si>
    <t>SALDO</t>
  </si>
  <si>
    <t>Soma de PercDespesa</t>
  </si>
  <si>
    <t>Soma de VlrDespesa</t>
  </si>
  <si>
    <t>1</t>
  </si>
  <si>
    <t>Soma de Saldo</t>
  </si>
  <si>
    <t>ANALISE RECEITAS VS DESPESAS</t>
  </si>
  <si>
    <t>Total de Receitas</t>
  </si>
  <si>
    <t>Total de Despesas</t>
  </si>
  <si>
    <t>Pago</t>
  </si>
  <si>
    <t>Falta Pagar</t>
  </si>
  <si>
    <t>Saldo</t>
  </si>
  <si>
    <t>Listas usadas nas validacoes de LANCAMENTOS (edite aqui para incluir novos itens)</t>
  </si>
  <si>
    <t>Row Labels</t>
  </si>
  <si>
    <t>Grand Total</t>
  </si>
  <si>
    <t>Column Labels</t>
  </si>
  <si>
    <t>Salario mensal</t>
  </si>
  <si>
    <t>Marina Souza</t>
  </si>
  <si>
    <t>Alta</t>
  </si>
  <si>
    <t>Alex Moreira</t>
  </si>
  <si>
    <t>Bonus semestral</t>
  </si>
  <si>
    <t>Valor liquido</t>
  </si>
  <si>
    <t>Media</t>
  </si>
  <si>
    <t>Projeto freelance</t>
  </si>
  <si>
    <t>(R) RENDIMENTOS</t>
  </si>
  <si>
    <t>Rendimentos da carteira</t>
  </si>
  <si>
    <t>Familia</t>
  </si>
  <si>
    <t>Baixa</t>
  </si>
  <si>
    <t>Aporte mensal - renda fixa</t>
  </si>
  <si>
    <t>Reserva de emergencia</t>
  </si>
  <si>
    <t>(D) ALIMENTACAO</t>
  </si>
  <si>
    <t>Supermercado</t>
  </si>
  <si>
    <t>Compra do mes</t>
  </si>
  <si>
    <t>Streaming de video</t>
  </si>
  <si>
    <t>(D) EMPRESTIMOS</t>
  </si>
  <si>
    <t>Parcela financiamento veiculo</t>
  </si>
  <si>
    <t>Parcela fixa</t>
  </si>
  <si>
    <t>Parcela consignado</t>
  </si>
  <si>
    <t>Desconto em folha</t>
  </si>
  <si>
    <t>Streaming de musica</t>
  </si>
  <si>
    <t>(D) TRANSPORTE</t>
  </si>
  <si>
    <t>Combustivel</t>
  </si>
  <si>
    <t>(D) RESTAURANTES</t>
  </si>
  <si>
    <t>Jantar fim de semana</t>
  </si>
  <si>
    <t>(D) SAUDE</t>
  </si>
  <si>
    <t>Plano de saude</t>
  </si>
  <si>
    <t>Armazenamento em nuvem</t>
  </si>
  <si>
    <t>(D) EDUCACAO</t>
  </si>
  <si>
    <t>Curso de ingles</t>
  </si>
  <si>
    <t>(D) MORADIA - ALUGUEL</t>
  </si>
  <si>
    <t>Aluguel</t>
  </si>
  <si>
    <t>Condominio</t>
  </si>
  <si>
    <t>Conta de agua</t>
  </si>
  <si>
    <t>(D) LAZER</t>
  </si>
  <si>
    <t>Cinema e passeios</t>
  </si>
  <si>
    <t>Conta de energia</t>
  </si>
  <si>
    <t>Aplicativo de transporte</t>
  </si>
  <si>
    <t>Plano celular</t>
  </si>
  <si>
    <t>Farmacia</t>
  </si>
  <si>
    <t>Internet fibra 500 Mb</t>
  </si>
  <si>
    <t>Almoco em familia</t>
  </si>
  <si>
    <t>Fatura do cartao</t>
  </si>
  <si>
    <t>Fim de semana</t>
  </si>
  <si>
    <t>FINANC. VEICULO</t>
  </si>
  <si>
    <t>Aportes</t>
  </si>
  <si>
    <t>Empréstimos e Financiamentos</t>
  </si>
  <si>
    <t>Acompanhe o saldo devedor e a evolução mensal de cada contrato</t>
  </si>
  <si>
    <t>FINANC. VEÍCULO - SALDO ATUAL</t>
  </si>
  <si>
    <t>CONSIGNADO - SALDO ATUAL</t>
  </si>
  <si>
    <t>Histórico mensal</t>
  </si>
  <si>
    <t>SALDO DEVEDOR</t>
  </si>
  <si>
    <t>Posição atual por contrato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</si>
</sst>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_(&quot;R$&quot;* #,##0.00_);_(&quot;R$&quot;* \(#,##0.00\);_(&quot;R$&quot;* &quot;-&quot;??_);_(@_)"/>
    <numFmt numFmtId="165" formatCode="&quot;R$&quot;\ #,##0.00"/>
    <numFmt numFmtId="166" formatCode="0.00&quot;%&quot;"/>
    <numFmt numFmtId="167" formatCode="mmm\-yy"/>
    <numFmt numFmtId="168" formatCode="m/d/yyyy"/>
    <numFmt numFmtId="169" formatCode="0.00\ &quot;%&quot;"/>
    <numFmt numFmtId="170" formatCode="d/m/yyyy"/>
    <numFmt numFmtId="171" formatCode="&quot;R$&quot;\ #.##000"/>
    <numFmt numFmtId="172" formatCode="dd/mm/\y\y\y\y"/>
    <numFmt numFmtId="173" formatCode="0.00&quot;% a.m.&quot;"/>
  </numFmts>
  <fonts count="18" x14ac:knownFonts="1">
    <font>
      <sz val="11"/>
      <color theme="1"/>
      <name val="Century Gothic"/>
      <family val="2"/>
      <scheme val="minor"/>
    </font>
    <font>
      <sz val="11"/>
      <color theme="1"/>
      <name val="Century Gothic"/>
      <family val="2"/>
      <scheme val="minor"/>
    </font>
    <font>
      <sz val="8"/>
      <name val="Century Gothic"/>
      <family val="2"/>
      <scheme val="minor"/>
    </font>
    <font>
      <b/>
      <sz val="11"/>
      <color theme="1"/>
      <name val="Century Gothic"/>
      <family val="2"/>
      <scheme val="minor"/>
    </font>
    <font>
      <sz val="11"/>
      <color theme="0"/>
      <name val="Century Gothic"/>
      <family val="2"/>
      <scheme val="minor"/>
    </font>
    <font>
      <sz val="45"/>
      <color theme="0"/>
      <name val="Aptos ExtraBold"/>
      <family val="2"/>
    </font>
    <font>
      <b/>
      <sz val="11"/>
      <color rgb="FF008000"/>
      <name val="Aptos Narrow"/>
      <family val="2"/>
    </font>
    <font>
      <sz val="11"/>
      <color theme="1"/>
      <name val="Segoe UI"/>
      <family val="2"/>
    </font>
    <font>
      <sz val="10"/>
      <color theme="1"/>
      <name val="Segoe UI"/>
      <family val="2"/>
    </font>
    <font>
      <sz val="10"/>
      <color theme="0"/>
      <name val="Segoe UI"/>
      <family val="2"/>
    </font>
    <font>
      <b/>
      <sz val="10"/>
      <color rgb="FFFFFFFF"/>
      <name val="Segoe UI"/>
      <family val="2"/>
    </font>
    <font>
      <sz val="10"/>
      <color rgb="FF0F172A"/>
      <name val="Segoe UI"/>
      <family val="2"/>
    </font>
    <font>
      <b/>
      <sz val="10"/>
      <color rgb="FF0F172A"/>
      <name val="Segoe UI"/>
      <family val="2"/>
    </font>
    <font>
      <b/>
      <sz val="16"/>
      <color rgb="FF0F172A"/>
      <name val="Segoe UI"/>
      <family val="2"/>
    </font>
    <font>
      <sz val="10"/>
      <color rgb="FF64748B"/>
      <name val="Segoe UI"/>
      <family val="2"/>
    </font>
    <font>
      <b/>
      <sz val="8.5"/>
      <color rgb="FF64748B"/>
      <name val="Segoe UI"/>
      <family val="2"/>
    </font>
    <font>
      <sz val="18"/>
      <color rgb="FF0F172A"/>
      <name val="Segoe UI"/>
      <family val="2"/>
    </font>
    <font>
      <b/>
      <sz val="11"/>
      <color rgb="FF0F172A"/>
      <name val="Segoe UI"/>
      <family val="2"/>
    </font>
  </fonts>
  <fills count="11">
    <fill>
      <patternFill patternType="none"/>
    </fill>
    <fill>
      <patternFill patternType="gray125"/>
    </fill>
    <fill>
      <patternFill patternType="solid">
        <fgColor rgb="FF070317"/>
        <bgColor indexed="64"/>
      </patternFill>
    </fill>
    <fill>
      <patternFill patternType="solid">
        <fgColor rgb="FFFFFF00"/>
        <bgColor indexed="64"/>
      </patternFill>
    </fill>
    <fill>
      <patternFill patternType="solid">
        <fgColor theme="2" tint="-0.749992370372631"/>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rgb="FFF1F5F9"/>
        <bgColor indexed="64"/>
      </patternFill>
    </fill>
    <fill>
      <patternFill patternType="solid">
        <fgColor rgb="FF1E293B"/>
        <bgColor indexed="64"/>
      </patternFill>
    </fill>
    <fill>
      <patternFill patternType="solid">
        <fgColor rgb="FFFFFFFF"/>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bottom style="thin">
        <color rgb="FFE2E8F0"/>
      </bottom>
      <diagonal/>
    </border>
    <border>
      <left/>
      <right/>
      <top style="thin">
        <color rgb="FFE2E8F0"/>
      </top>
      <bottom style="thin">
        <color rgb="FFE2E8F0"/>
      </bottom>
      <diagonal/>
    </border>
    <border>
      <left style="medium">
        <color rgb="FF2F6DB5"/>
      </left>
      <right/>
      <top style="thin">
        <color rgb="FFE2E8F0"/>
      </top>
      <bottom/>
      <diagonal/>
    </border>
    <border>
      <left style="medium">
        <color rgb="FF2F6DB5"/>
      </left>
      <right/>
      <top/>
      <bottom style="thin">
        <color rgb="FFE2E8F0"/>
      </bottom>
      <diagonal/>
    </border>
    <border>
      <left style="medium">
        <color rgb="FFC98A1B"/>
      </left>
      <right style="thin">
        <color rgb="FFE2E8F0"/>
      </right>
      <top style="thin">
        <color rgb="FFE2E8F0"/>
      </top>
      <bottom/>
      <diagonal/>
    </border>
    <border>
      <left style="medium">
        <color rgb="FFC98A1B"/>
      </left>
      <right style="thin">
        <color rgb="FFE2E8F0"/>
      </right>
      <top/>
      <bottom style="thin">
        <color rgb="FFE2E8F0"/>
      </bottom>
      <diagonal/>
    </border>
  </borders>
  <cellStyleXfs count="2">
    <xf numFmtId="0" fontId="0" fillId="0" borderId="0"/>
    <xf numFmtId="164" fontId="1" fillId="0" borderId="0" applyFont="0" applyFill="0" applyBorder="0" applyAlignment="0" applyProtection="0"/>
  </cellStyleXfs>
  <cellXfs count="81">
    <xf numFmtId="0" fontId="0" fillId="0" borderId="0" xfId="0"/>
    <xf numFmtId="0" fontId="0" fillId="0" borderId="0" xfId="0" pivotButton="1"/>
    <xf numFmtId="0" fontId="0" fillId="0" borderId="0" xfId="0" applyAlignment="1">
      <alignment horizontal="left"/>
    </xf>
    <xf numFmtId="164" fontId="0" fillId="0" borderId="0" xfId="0" applyNumberFormat="1"/>
    <xf numFmtId="0" fontId="0" fillId="2" borderId="0" xfId="0" applyFill="1"/>
    <xf numFmtId="0" fontId="4" fillId="4" borderId="0" xfId="0" applyFont="1" applyFill="1"/>
    <xf numFmtId="17" fontId="0" fillId="0" borderId="0" xfId="0" applyNumberFormat="1" applyAlignment="1">
      <alignment horizontal="left"/>
    </xf>
    <xf numFmtId="165" fontId="0" fillId="0" borderId="0" xfId="0" applyNumberFormat="1"/>
    <xf numFmtId="0" fontId="3" fillId="0" borderId="1" xfId="0" applyFont="1" applyBorder="1"/>
    <xf numFmtId="165" fontId="3" fillId="0" borderId="1" xfId="0" applyNumberFormat="1" applyFont="1" applyBorder="1"/>
    <xf numFmtId="165" fontId="3" fillId="0" borderId="2" xfId="0" applyNumberFormat="1" applyFont="1" applyBorder="1"/>
    <xf numFmtId="0" fontId="3" fillId="0" borderId="3" xfId="0" applyFont="1" applyBorder="1"/>
    <xf numFmtId="165" fontId="3" fillId="3" borderId="4" xfId="0" applyNumberFormat="1" applyFont="1" applyFill="1" applyBorder="1"/>
    <xf numFmtId="0" fontId="0" fillId="0" borderId="1" xfId="0" applyBorder="1"/>
    <xf numFmtId="165" fontId="0" fillId="0" borderId="1" xfId="0" applyNumberFormat="1" applyBorder="1"/>
    <xf numFmtId="10" fontId="0" fillId="0" borderId="0" xfId="0" applyNumberFormat="1"/>
    <xf numFmtId="10" fontId="0" fillId="0" borderId="0" xfId="0" applyNumberFormat="1" applyAlignment="1">
      <alignment horizontal="center"/>
    </xf>
    <xf numFmtId="9" fontId="0" fillId="0" borderId="0" xfId="0" applyNumberFormat="1"/>
    <xf numFmtId="0" fontId="3" fillId="0" borderId="0" xfId="0" applyFont="1"/>
    <xf numFmtId="0" fontId="5" fillId="2" borderId="0" xfId="0" applyFont="1" applyFill="1"/>
    <xf numFmtId="0" fontId="4" fillId="6" borderId="0" xfId="0" applyFont="1" applyFill="1"/>
    <xf numFmtId="0" fontId="4" fillId="7" borderId="0" xfId="0" applyFont="1" applyFill="1"/>
    <xf numFmtId="17" fontId="0" fillId="0" borderId="1" xfId="0" applyNumberFormat="1" applyBorder="1"/>
    <xf numFmtId="167" fontId="0" fillId="0" borderId="0" xfId="0" applyNumberFormat="1" applyAlignment="1">
      <alignment horizontal="left"/>
    </xf>
    <xf numFmtId="0" fontId="3" fillId="0" borderId="0" xfId="0" applyFont="1" applyAlignment="1">
      <alignment horizontal="right"/>
    </xf>
    <xf numFmtId="0" fontId="3" fillId="0" borderId="5" xfId="0" applyFont="1" applyBorder="1"/>
    <xf numFmtId="169" fontId="0" fillId="3" borderId="5" xfId="0" applyNumberFormat="1" applyFill="1" applyBorder="1"/>
    <xf numFmtId="165" fontId="0" fillId="0" borderId="0" xfId="0" applyNumberFormat="1" applyAlignment="1">
      <alignment horizontal="center"/>
    </xf>
    <xf numFmtId="9" fontId="0" fillId="0" borderId="0" xfId="0" applyNumberFormat="1" applyAlignment="1">
      <alignment horizontal="center"/>
    </xf>
    <xf numFmtId="171" fontId="0" fillId="0" borderId="0" xfId="0" applyNumberFormat="1"/>
    <xf numFmtId="172" fontId="0" fillId="0" borderId="0" xfId="0" applyNumberFormat="1"/>
    <xf numFmtId="49" fontId="0" fillId="0" borderId="1" xfId="0" applyNumberFormat="1" applyBorder="1"/>
    <xf numFmtId="0" fontId="8" fillId="0" borderId="0" xfId="0" applyFont="1"/>
    <xf numFmtId="170" fontId="8" fillId="0" borderId="0" xfId="0" applyNumberFormat="1" applyFont="1"/>
    <xf numFmtId="167" fontId="8" fillId="0" borderId="0" xfId="0" applyNumberFormat="1" applyFont="1" applyAlignment="1">
      <alignment horizontal="center"/>
    </xf>
    <xf numFmtId="168" fontId="8" fillId="0" borderId="0" xfId="0" applyNumberFormat="1" applyFont="1" applyAlignment="1">
      <alignment horizontal="center"/>
    </xf>
    <xf numFmtId="164" fontId="8" fillId="5" borderId="0" xfId="1" applyFont="1" applyFill="1"/>
    <xf numFmtId="0" fontId="8" fillId="0" borderId="0" xfId="0" applyFont="1" applyAlignment="1">
      <alignment horizontal="center"/>
    </xf>
    <xf numFmtId="0" fontId="8" fillId="5" borderId="0" xfId="0" applyFont="1" applyFill="1"/>
    <xf numFmtId="0" fontId="8" fillId="8" borderId="0" xfId="0" applyFont="1" applyFill="1"/>
    <xf numFmtId="0" fontId="10" fillId="9" borderId="0" xfId="0" applyFont="1" applyFill="1" applyAlignment="1">
      <alignment horizontal="center" vertical="center"/>
    </xf>
    <xf numFmtId="0" fontId="10" fillId="9" borderId="0" xfId="0" applyFont="1" applyFill="1" applyAlignment="1">
      <alignment horizontal="right" vertical="center"/>
    </xf>
    <xf numFmtId="165" fontId="11" fillId="0" borderId="6" xfId="1" applyNumberFormat="1" applyFont="1" applyFill="1" applyBorder="1" applyAlignment="1">
      <alignment horizontal="right" vertical="center"/>
    </xf>
    <xf numFmtId="165" fontId="11" fillId="0" borderId="7" xfId="1" applyNumberFormat="1" applyFont="1" applyFill="1" applyBorder="1" applyAlignment="1">
      <alignment horizontal="right" vertical="center"/>
    </xf>
    <xf numFmtId="0" fontId="11" fillId="8" borderId="0" xfId="0" applyFont="1" applyFill="1"/>
    <xf numFmtId="0" fontId="12" fillId="8" borderId="0" xfId="0" applyFont="1" applyFill="1"/>
    <xf numFmtId="14" fontId="11" fillId="8" borderId="0" xfId="0" applyNumberFormat="1" applyFont="1" applyFill="1"/>
    <xf numFmtId="166" fontId="11" fillId="8" borderId="0" xfId="0" applyNumberFormat="1" applyFont="1" applyFill="1"/>
    <xf numFmtId="1" fontId="11" fillId="8" borderId="0" xfId="0" applyNumberFormat="1" applyFont="1" applyFill="1"/>
    <xf numFmtId="0" fontId="13" fillId="8" borderId="0" xfId="0" applyFont="1" applyFill="1" applyAlignment="1">
      <alignment vertical="center"/>
    </xf>
    <xf numFmtId="0" fontId="14" fillId="8" borderId="0" xfId="0" applyFont="1" applyFill="1"/>
    <xf numFmtId="0" fontId="15" fillId="10" borderId="8" xfId="0" applyFont="1" applyFill="1" applyBorder="1" applyAlignment="1">
      <alignment horizontal="left" indent="1"/>
    </xf>
    <xf numFmtId="165" fontId="16" fillId="10" borderId="9" xfId="0" applyNumberFormat="1" applyFont="1" applyFill="1" applyBorder="1" applyAlignment="1">
      <alignment horizontal="left" vertical="top" indent="1"/>
    </xf>
    <xf numFmtId="0" fontId="15" fillId="10" borderId="10" xfId="0" applyFont="1" applyFill="1" applyBorder="1" applyAlignment="1">
      <alignment horizontal="left" indent="1"/>
    </xf>
    <xf numFmtId="165" fontId="16" fillId="10" borderId="11" xfId="0" applyNumberFormat="1" applyFont="1" applyFill="1" applyBorder="1" applyAlignment="1">
      <alignment horizontal="left" vertical="top" indent="1"/>
    </xf>
    <xf numFmtId="0" fontId="17" fillId="8" borderId="0" xfId="0" applyFont="1" applyFill="1"/>
    <xf numFmtId="0" fontId="11" fillId="10" borderId="6" xfId="0" applyFont="1" applyFill="1" applyBorder="1" applyAlignment="1">
      <alignment horizontal="center" vertical="center"/>
    </xf>
    <xf numFmtId="0" fontId="11" fillId="10" borderId="7" xfId="0" applyFont="1" applyFill="1" applyBorder="1" applyAlignment="1">
      <alignment horizontal="center" vertical="center"/>
    </xf>
    <xf numFmtId="14" fontId="11" fillId="10" borderId="6" xfId="0" applyNumberFormat="1" applyFont="1" applyFill="1" applyBorder="1" applyAlignment="1">
      <alignment horizontal="center" vertical="center"/>
    </xf>
    <xf numFmtId="14" fontId="11" fillId="10" borderId="7" xfId="0" applyNumberFormat="1" applyFont="1" applyFill="1" applyBorder="1" applyAlignment="1">
      <alignment horizontal="center" vertical="center"/>
    </xf>
    <xf numFmtId="17" fontId="11" fillId="10" borderId="6" xfId="0" applyNumberFormat="1" applyFont="1" applyFill="1" applyBorder="1" applyAlignment="1">
      <alignment horizontal="center" vertical="center"/>
    </xf>
    <xf numFmtId="17" fontId="11" fillId="10" borderId="7" xfId="0" applyNumberFormat="1" applyFont="1" applyFill="1" applyBorder="1" applyAlignment="1">
      <alignment horizontal="center" vertical="center"/>
    </xf>
    <xf numFmtId="165" fontId="11" fillId="10" borderId="6" xfId="0" applyNumberFormat="1" applyFont="1" applyFill="1" applyBorder="1" applyAlignment="1">
      <alignment horizontal="right" vertical="center"/>
    </xf>
    <xf numFmtId="173" fontId="11" fillId="10" borderId="6" xfId="0" applyNumberFormat="1" applyFont="1" applyFill="1" applyBorder="1" applyAlignment="1">
      <alignment horizontal="right" vertical="center"/>
    </xf>
    <xf numFmtId="165" fontId="11" fillId="10" borderId="7" xfId="0" applyNumberFormat="1" applyFont="1" applyFill="1" applyBorder="1" applyAlignment="1">
      <alignment horizontal="right" vertical="center"/>
    </xf>
    <xf numFmtId="173" fontId="11" fillId="10" borderId="7" xfId="0" applyNumberFormat="1" applyFont="1" applyFill="1" applyBorder="1" applyAlignment="1">
      <alignment horizontal="right" vertical="center"/>
    </xf>
    <xf numFmtId="14" fontId="11" fillId="0" borderId="6" xfId="0" applyNumberFormat="1" applyFont="1" applyBorder="1" applyAlignment="1">
      <alignment horizontal="center" vertical="center"/>
    </xf>
    <xf numFmtId="17" fontId="11" fillId="0" borderId="6" xfId="0" applyNumberFormat="1" applyFont="1" applyBorder="1" applyAlignment="1">
      <alignment horizontal="center" vertical="center"/>
    </xf>
    <xf numFmtId="168" fontId="11" fillId="0" borderId="6" xfId="0" applyNumberFormat="1" applyFont="1" applyBorder="1" applyAlignment="1">
      <alignment horizontal="center" vertical="center"/>
    </xf>
    <xf numFmtId="0" fontId="11" fillId="0" borderId="6" xfId="0" applyFont="1" applyBorder="1" applyAlignment="1">
      <alignment horizontal="center" vertical="center"/>
    </xf>
    <xf numFmtId="14" fontId="11" fillId="0" borderId="7" xfId="0" applyNumberFormat="1" applyFont="1" applyBorder="1" applyAlignment="1">
      <alignment horizontal="center" vertical="center"/>
    </xf>
    <xf numFmtId="17" fontId="11" fillId="0" borderId="7" xfId="0" applyNumberFormat="1" applyFont="1" applyBorder="1" applyAlignment="1">
      <alignment horizontal="center" vertical="center"/>
    </xf>
    <xf numFmtId="168" fontId="11" fillId="0" borderId="7" xfId="0" applyNumberFormat="1" applyFont="1" applyBorder="1" applyAlignment="1">
      <alignment horizontal="center" vertical="center"/>
    </xf>
    <xf numFmtId="0" fontId="11" fillId="0" borderId="7" xfId="0" applyFont="1" applyBorder="1" applyAlignment="1">
      <alignment horizontal="center" vertical="center"/>
    </xf>
    <xf numFmtId="165" fontId="11" fillId="0" borderId="7" xfId="0" applyNumberFormat="1" applyFont="1" applyBorder="1" applyAlignment="1">
      <alignment horizontal="right" vertical="center"/>
    </xf>
    <xf numFmtId="0" fontId="15" fillId="8" borderId="0" xfId="0" applyFont="1" applyFill="1"/>
    <xf numFmtId="0" fontId="14" fillId="8" borderId="0" xfId="0" applyFont="1" applyFill="1" applyAlignment="1">
      <alignment vertical="top"/>
    </xf>
    <xf numFmtId="0" fontId="11" fillId="0" borderId="6" xfId="0" applyFont="1" applyBorder="1" applyAlignment="1">
      <alignment horizontal="left" vertical="center" indent="1"/>
    </xf>
    <xf numFmtId="0" fontId="11" fillId="0" borderId="7" xfId="0" applyFont="1" applyBorder="1" applyAlignment="1">
      <alignment horizontal="left" vertical="center" indent="1"/>
    </xf>
    <xf numFmtId="0" fontId="7" fillId="8" borderId="0" xfId="0" applyFont="1" applyFill="1"/>
    <xf numFmtId="0" fontId="9" fillId="8" borderId="0" xfId="0" applyFont="1" applyFill="1" applyAlignment="1">
      <alignment horizontal="left"/>
    </xf>
  </cellXfs>
  <cellStyles count="2">
    <cellStyle name="Currency" xfId="1" builtinId="4"/>
    <cellStyle name="Normal" xfId="0" builtinId="0"/>
  </cellStyles>
  <dxfs count="51">
    <dxf>
      <numFmt numFmtId="165" formatCode="&quot;R$&quot;\ #,##0.00"/>
    </dxf>
    <dxf>
      <numFmt numFmtId="165" formatCode="&quot;R$&quot;\ #,##0.00"/>
    </dxf>
    <dxf>
      <numFmt numFmtId="165" formatCode="&quot;R$&quot;\ #,##0.00"/>
    </dxf>
    <dxf>
      <alignment horizontal="center"/>
    </dxf>
    <dxf>
      <numFmt numFmtId="171" formatCode="&quot;R$&quot;\ #.##000"/>
    </dxf>
    <dxf>
      <numFmt numFmtId="165" formatCode="&quot;R$&quot;\ #,##0.00"/>
    </dxf>
    <dxf>
      <numFmt numFmtId="13" formatCode="0%"/>
    </dxf>
    <dxf>
      <alignment horizontal="center"/>
    </dxf>
    <dxf>
      <numFmt numFmtId="14" formatCode="0.00%"/>
    </dxf>
    <dxf>
      <numFmt numFmtId="165" formatCode="&quot;R$&quot;\ #,##0.00"/>
    </dxf>
    <dxf>
      <numFmt numFmtId="165" formatCode="&quot;R$&quot;\ #,##0.00"/>
    </dxf>
    <dxf>
      <numFmt numFmtId="165" formatCode="&quot;R$&quot;\ #,##0.00"/>
    </dxf>
    <dxf>
      <numFmt numFmtId="164" formatCode="_(&quot;R$&quot;* #,##0.00_);_(&quot;R$&quot;* \(#,##0.00\);_(&quot;R$&quot;* &quot;-&quot;??_);_(@_)"/>
    </dxf>
    <dxf>
      <numFmt numFmtId="167" formatCode="mmm\-yy"/>
    </dxf>
    <dxf>
      <numFmt numFmtId="164" formatCode="_(&quot;R$&quot;* #,##0.00_);_(&quot;R$&quot;* \(#,##0.00\);_(&quot;R$&quot;* &quot;-&quot;??_);_(@_)"/>
    </dxf>
    <dxf>
      <font>
        <strike val="0"/>
        <outline val="0"/>
        <shadow val="0"/>
        <u val="none"/>
        <vertAlign val="baseline"/>
        <sz val="10"/>
        <color rgb="FF0F172A"/>
        <name val="Segoe UI"/>
        <family val="2"/>
        <scheme val="none"/>
      </font>
      <fill>
        <patternFill patternType="solid">
          <fgColor indexed="64"/>
          <bgColor rgb="FFFFFFFF"/>
        </patternFill>
      </fill>
      <alignment horizontal="center" vertical="center" textRotation="0" wrapText="0" indent="0" justifyLastLine="0" shrinkToFit="0" readingOrder="0"/>
      <border diagonalUp="0" diagonalDown="0" outline="0">
        <left/>
        <right/>
        <top style="thin">
          <color rgb="FFE2E8F0"/>
        </top>
        <bottom style="thin">
          <color rgb="FFE2E8F0"/>
        </bottom>
      </border>
    </dxf>
    <dxf>
      <font>
        <strike val="0"/>
        <outline val="0"/>
        <shadow val="0"/>
        <u val="none"/>
        <vertAlign val="baseline"/>
        <sz val="10"/>
        <color rgb="FF0F172A"/>
        <name val="Segoe UI"/>
        <family val="2"/>
        <scheme val="none"/>
      </font>
      <numFmt numFmtId="165" formatCode="&quot;R$&quot;\ #,##0.00"/>
      <fill>
        <patternFill patternType="solid">
          <fgColor indexed="64"/>
          <bgColor rgb="FFFFFFFF"/>
        </patternFill>
      </fill>
      <alignment horizontal="right" vertical="center" textRotation="0" wrapText="0" indent="0" justifyLastLine="0" shrinkToFit="0" readingOrder="0"/>
      <border diagonalUp="0" diagonalDown="0" outline="0">
        <left/>
        <right/>
        <top style="thin">
          <color rgb="FFE2E8F0"/>
        </top>
        <bottom style="thin">
          <color rgb="FFE2E8F0"/>
        </bottom>
      </border>
    </dxf>
    <dxf>
      <font>
        <strike val="0"/>
        <outline val="0"/>
        <shadow val="0"/>
        <u val="none"/>
        <vertAlign val="baseline"/>
        <sz val="10"/>
        <color rgb="FF0F172A"/>
        <name val="Segoe UI"/>
        <family val="2"/>
        <scheme val="none"/>
      </font>
      <numFmt numFmtId="165" formatCode="&quot;R$&quot;\ #,##0.00"/>
      <fill>
        <patternFill patternType="solid">
          <fgColor indexed="64"/>
          <bgColor rgb="FFFFFFFF"/>
        </patternFill>
      </fill>
      <alignment horizontal="right" vertical="center" textRotation="0" wrapText="0" indent="0" justifyLastLine="0" shrinkToFit="0" readingOrder="0"/>
      <border diagonalUp="0" diagonalDown="0" outline="0">
        <left/>
        <right/>
        <top style="thin">
          <color rgb="FFE2E8F0"/>
        </top>
        <bottom style="thin">
          <color rgb="FFE2E8F0"/>
        </bottom>
      </border>
    </dxf>
    <dxf>
      <font>
        <strike val="0"/>
        <outline val="0"/>
        <shadow val="0"/>
        <u val="none"/>
        <vertAlign val="baseline"/>
        <sz val="10"/>
        <color rgb="FF0F172A"/>
        <name val="Segoe UI"/>
        <family val="2"/>
        <scheme val="none"/>
      </font>
      <numFmt numFmtId="173" formatCode="0.00&quot;% a.m.&quot;"/>
      <fill>
        <patternFill patternType="solid">
          <fgColor indexed="64"/>
          <bgColor rgb="FFFFFFFF"/>
        </patternFill>
      </fill>
      <alignment horizontal="right" vertical="center" textRotation="0" wrapText="0" indent="0" justifyLastLine="0" shrinkToFit="0" readingOrder="0"/>
      <border diagonalUp="0" diagonalDown="0" outline="0">
        <left/>
        <right/>
        <top style="thin">
          <color rgb="FFE2E8F0"/>
        </top>
        <bottom style="thin">
          <color rgb="FFE2E8F0"/>
        </bottom>
      </border>
    </dxf>
    <dxf>
      <font>
        <strike val="0"/>
        <outline val="0"/>
        <shadow val="0"/>
        <u val="none"/>
        <vertAlign val="baseline"/>
        <sz val="10"/>
        <color rgb="FF0F172A"/>
        <name val="Segoe UI"/>
        <family val="2"/>
        <scheme val="none"/>
      </font>
      <numFmt numFmtId="165" formatCode="&quot;R$&quot;\ #,##0.00"/>
      <fill>
        <patternFill patternType="solid">
          <fgColor indexed="64"/>
          <bgColor rgb="FFFFFFFF"/>
        </patternFill>
      </fill>
      <alignment horizontal="right" vertical="center" textRotation="0" wrapText="0" indent="0" justifyLastLine="0" shrinkToFit="0" readingOrder="0"/>
      <border diagonalUp="0" diagonalDown="0" outline="0">
        <left/>
        <right/>
        <top style="thin">
          <color rgb="FFE2E8F0"/>
        </top>
        <bottom style="thin">
          <color rgb="FFE2E8F0"/>
        </bottom>
      </border>
    </dxf>
    <dxf>
      <font>
        <strike val="0"/>
        <outline val="0"/>
        <shadow val="0"/>
        <u val="none"/>
        <vertAlign val="baseline"/>
        <sz val="10"/>
        <color rgb="FF0F172A"/>
        <name val="Segoe UI"/>
        <family val="2"/>
        <scheme val="none"/>
      </font>
      <fill>
        <patternFill patternType="solid">
          <fgColor indexed="64"/>
          <bgColor rgb="FFFFFFFF"/>
        </patternFill>
      </fill>
      <alignment horizontal="center" vertical="center" textRotation="0" wrapText="0" indent="0" justifyLastLine="0" shrinkToFit="0" readingOrder="0"/>
      <border diagonalUp="0" diagonalDown="0" outline="0">
        <left/>
        <right/>
        <top style="thin">
          <color rgb="FFE2E8F0"/>
        </top>
        <bottom style="thin">
          <color rgb="FFE2E8F0"/>
        </bottom>
      </border>
    </dxf>
    <dxf>
      <font>
        <strike val="0"/>
        <outline val="0"/>
        <shadow val="0"/>
        <u val="none"/>
        <vertAlign val="baseline"/>
        <sz val="10"/>
        <color rgb="FF0F172A"/>
        <name val="Segoe UI"/>
        <family val="2"/>
        <scheme val="none"/>
      </font>
      <numFmt numFmtId="22" formatCode="mmm/yy"/>
      <fill>
        <patternFill patternType="solid">
          <fgColor indexed="64"/>
          <bgColor rgb="FFFFFFFF"/>
        </patternFill>
      </fill>
      <alignment horizontal="center" vertical="center" textRotation="0" wrapText="0" indent="0" justifyLastLine="0" shrinkToFit="0" readingOrder="0"/>
      <border diagonalUp="0" diagonalDown="0" outline="0">
        <left/>
        <right/>
        <top style="thin">
          <color rgb="FFE2E8F0"/>
        </top>
        <bottom style="thin">
          <color rgb="FFE2E8F0"/>
        </bottom>
      </border>
    </dxf>
    <dxf>
      <font>
        <strike val="0"/>
        <outline val="0"/>
        <shadow val="0"/>
        <u val="none"/>
        <vertAlign val="baseline"/>
        <sz val="10"/>
        <color rgb="FF0F172A"/>
        <name val="Segoe UI"/>
        <family val="2"/>
        <scheme val="none"/>
      </font>
      <numFmt numFmtId="19" formatCode="dd/mm/yyyy"/>
      <fill>
        <patternFill patternType="solid">
          <fgColor indexed="64"/>
          <bgColor rgb="FFFFFFFF"/>
        </patternFill>
      </fill>
      <alignment horizontal="center" vertical="center" textRotation="0" wrapText="0" indent="0" justifyLastLine="0" shrinkToFit="0" readingOrder="0"/>
      <border diagonalUp="0" diagonalDown="0" outline="0">
        <left/>
        <right/>
        <top style="thin">
          <color rgb="FFE2E8F0"/>
        </top>
        <bottom style="thin">
          <color rgb="FFE2E8F0"/>
        </bottom>
      </border>
    </dxf>
    <dxf>
      <font>
        <strike val="0"/>
        <outline val="0"/>
        <shadow val="0"/>
        <u val="none"/>
        <vertAlign val="baseline"/>
        <sz val="10"/>
        <color rgb="FF0F172A"/>
        <name val="Segoe UI"/>
        <family val="2"/>
        <scheme val="none"/>
      </font>
      <fill>
        <patternFill patternType="solid">
          <fgColor indexed="64"/>
          <bgColor rgb="FFFFFFFF"/>
        </patternFill>
      </fill>
      <alignment horizontal="center" vertical="center" textRotation="0" wrapText="0" indent="0" justifyLastLine="0" shrinkToFit="0" readingOrder="0"/>
    </dxf>
    <dxf>
      <font>
        <b/>
        <strike val="0"/>
        <outline val="0"/>
        <shadow val="0"/>
        <u val="none"/>
        <vertAlign val="baseline"/>
        <sz val="10"/>
        <color rgb="FFFFFFFF"/>
        <name val="Segoe UI"/>
        <family val="2"/>
        <scheme val="none"/>
      </font>
      <fill>
        <patternFill patternType="solid">
          <fgColor indexed="64"/>
          <bgColor rgb="FF1E293B"/>
        </patternFill>
      </fill>
      <alignment horizontal="center" vertical="center" textRotation="0" wrapText="0" indent="0" justifyLastLine="0" shrinkToFit="0" readingOrder="0"/>
    </dxf>
    <dxf>
      <font>
        <b val="0"/>
        <strike val="0"/>
        <outline val="0"/>
        <shadow val="0"/>
        <u val="none"/>
        <vertAlign val="baseline"/>
        <sz val="10"/>
        <color rgb="FF0F172A"/>
        <name val="Segoe UI"/>
        <family val="2"/>
        <scheme val="none"/>
      </font>
      <fill>
        <patternFill patternType="none">
          <fgColor indexed="64"/>
        </patternFill>
      </fill>
      <alignment horizontal="center" vertical="center" textRotation="0" wrapText="0" indent="0" justifyLastLine="0" shrinkToFit="0" readingOrder="0"/>
      <border diagonalUp="0" diagonalDown="0" outline="0">
        <left/>
        <right/>
        <top style="thin">
          <color rgb="FFE2E8F0"/>
        </top>
        <bottom style="thin">
          <color rgb="FFE2E8F0"/>
        </bottom>
      </border>
    </dxf>
    <dxf>
      <font>
        <b val="0"/>
        <strike val="0"/>
        <outline val="0"/>
        <shadow val="0"/>
        <u val="none"/>
        <vertAlign val="baseline"/>
        <sz val="10"/>
        <color rgb="FF0F172A"/>
        <name val="Segoe UI"/>
        <family val="2"/>
        <scheme val="none"/>
      </font>
      <fill>
        <patternFill patternType="none">
          <fgColor indexed="64"/>
        </patternFill>
      </fill>
      <alignment horizontal="left" vertical="center" textRotation="0" wrapText="0" indent="1" justifyLastLine="0" shrinkToFit="0" readingOrder="0"/>
      <border diagonalUp="0" diagonalDown="0" outline="0">
        <left/>
        <right/>
        <top style="thin">
          <color rgb="FFE2E8F0"/>
        </top>
        <bottom style="thin">
          <color rgb="FFE2E8F0"/>
        </bottom>
      </border>
    </dxf>
    <dxf>
      <font>
        <b val="0"/>
        <strike val="0"/>
        <outline val="0"/>
        <shadow val="0"/>
        <u val="none"/>
        <vertAlign val="baseline"/>
        <sz val="10"/>
        <color rgb="FF0F172A"/>
        <name val="Segoe UI"/>
        <family val="2"/>
        <scheme val="none"/>
      </font>
      <fill>
        <patternFill patternType="none">
          <fgColor indexed="64"/>
        </patternFill>
      </fill>
      <alignment horizontal="center" vertical="center" textRotation="0" wrapText="0" indent="0" justifyLastLine="0" shrinkToFit="0" readingOrder="0"/>
      <border diagonalUp="0" diagonalDown="0" outline="0">
        <left/>
        <right/>
        <top style="thin">
          <color rgb="FFE2E8F0"/>
        </top>
        <bottom style="thin">
          <color rgb="FFE2E8F0"/>
        </bottom>
      </border>
    </dxf>
    <dxf>
      <font>
        <b val="0"/>
        <strike val="0"/>
        <outline val="0"/>
        <shadow val="0"/>
        <u val="none"/>
        <vertAlign val="baseline"/>
        <sz val="10"/>
        <color rgb="FF0F172A"/>
        <name val="Segoe UI"/>
        <family val="2"/>
        <scheme val="none"/>
      </font>
      <fill>
        <patternFill patternType="none">
          <fgColor indexed="64"/>
        </patternFill>
      </fill>
      <alignment horizontal="left" vertical="center" textRotation="0" wrapText="0" indent="1" justifyLastLine="0" shrinkToFit="0" readingOrder="0"/>
      <border diagonalUp="0" diagonalDown="0" outline="0">
        <left/>
        <right/>
        <top style="thin">
          <color rgb="FFE2E8F0"/>
        </top>
        <bottom style="thin">
          <color rgb="FFE2E8F0"/>
        </bottom>
      </border>
    </dxf>
    <dxf>
      <font>
        <b val="0"/>
        <strike val="0"/>
        <outline val="0"/>
        <shadow val="0"/>
        <u val="none"/>
        <vertAlign val="baseline"/>
        <sz val="10"/>
        <color rgb="FF0F172A"/>
        <name val="Segoe UI"/>
        <family val="2"/>
        <scheme val="none"/>
      </font>
      <fill>
        <patternFill patternType="none">
          <fgColor indexed="64"/>
        </patternFill>
      </fill>
      <alignment horizontal="left" vertical="center" textRotation="0" wrapText="0" indent="1" justifyLastLine="0" shrinkToFit="0" readingOrder="0"/>
      <border diagonalUp="0" diagonalDown="0" outline="0">
        <left/>
        <right/>
        <top style="thin">
          <color rgb="FFE2E8F0"/>
        </top>
        <bottom style="thin">
          <color rgb="FFE2E8F0"/>
        </bottom>
      </border>
    </dxf>
    <dxf>
      <font>
        <b val="0"/>
        <strike val="0"/>
        <outline val="0"/>
        <shadow val="0"/>
        <u val="none"/>
        <vertAlign val="baseline"/>
        <sz val="10"/>
        <color rgb="FF0F172A"/>
        <name val="Segoe UI"/>
        <family val="2"/>
        <scheme val="none"/>
      </font>
      <numFmt numFmtId="165" formatCode="&quot;R$&quot;\ #,##0.00"/>
      <fill>
        <patternFill patternType="none">
          <fgColor indexed="64"/>
          <bgColor theme="0"/>
        </patternFill>
      </fill>
      <alignment horizontal="right" vertical="center" textRotation="0" wrapText="0" indent="0" justifyLastLine="0" shrinkToFit="0" readingOrder="0"/>
      <border diagonalUp="0" diagonalDown="0" outline="0">
        <left/>
        <right/>
        <top style="thin">
          <color rgb="FFE2E8F0"/>
        </top>
        <bottom style="thin">
          <color rgb="FFE2E8F0"/>
        </bottom>
      </border>
    </dxf>
    <dxf>
      <font>
        <b val="0"/>
        <strike val="0"/>
        <outline val="0"/>
        <shadow val="0"/>
        <u val="none"/>
        <vertAlign val="baseline"/>
        <sz val="10"/>
        <color rgb="FF0F172A"/>
        <name val="Segoe UI"/>
        <family val="2"/>
        <scheme val="none"/>
      </font>
      <numFmt numFmtId="165" formatCode="&quot;R$&quot;\ #,##0.00"/>
      <fill>
        <patternFill patternType="none">
          <fgColor indexed="64"/>
          <bgColor theme="0"/>
        </patternFill>
      </fill>
      <alignment horizontal="right" vertical="center" textRotation="0" wrapText="0" indent="0" justifyLastLine="0" shrinkToFit="0" readingOrder="0"/>
      <border diagonalUp="0" diagonalDown="0" outline="0">
        <left/>
        <right/>
        <top style="thin">
          <color rgb="FFE2E8F0"/>
        </top>
        <bottom style="thin">
          <color rgb="FFE2E8F0"/>
        </bottom>
      </border>
    </dxf>
    <dxf>
      <font>
        <b val="0"/>
        <strike val="0"/>
        <outline val="0"/>
        <shadow val="0"/>
        <u val="none"/>
        <vertAlign val="baseline"/>
        <sz val="10"/>
        <color rgb="FF0F172A"/>
        <name val="Segoe UI"/>
        <family val="2"/>
        <scheme val="none"/>
      </font>
      <fill>
        <patternFill patternType="none">
          <fgColor indexed="64"/>
        </patternFill>
      </fill>
      <alignment horizontal="left" vertical="center" textRotation="0" wrapText="0" indent="1" justifyLastLine="0" shrinkToFit="0" readingOrder="0"/>
      <border diagonalUp="0" diagonalDown="0" outline="0">
        <left/>
        <right/>
        <top style="thin">
          <color rgb="FFE2E8F0"/>
        </top>
        <bottom style="thin">
          <color rgb="FFE2E8F0"/>
        </bottom>
      </border>
    </dxf>
    <dxf>
      <font>
        <b val="0"/>
        <strike val="0"/>
        <outline val="0"/>
        <shadow val="0"/>
        <u val="none"/>
        <vertAlign val="baseline"/>
        <sz val="10"/>
        <color rgb="FF0F172A"/>
        <name val="Segoe UI"/>
        <family val="2"/>
        <scheme val="none"/>
      </font>
      <numFmt numFmtId="168" formatCode="m/d/yyyy"/>
      <fill>
        <patternFill patternType="none">
          <fgColor indexed="64"/>
        </patternFill>
      </fill>
      <alignment horizontal="center" vertical="center" textRotation="0" wrapText="0" indent="0" justifyLastLine="0" shrinkToFit="0" readingOrder="0"/>
      <border diagonalUp="0" diagonalDown="0" outline="0">
        <left/>
        <right/>
        <top style="thin">
          <color rgb="FFE2E8F0"/>
        </top>
        <bottom style="thin">
          <color rgb="FFE2E8F0"/>
        </bottom>
      </border>
    </dxf>
    <dxf>
      <font>
        <b val="0"/>
        <strike val="0"/>
        <outline val="0"/>
        <shadow val="0"/>
        <u val="none"/>
        <vertAlign val="baseline"/>
        <sz val="10"/>
        <color rgb="FF0F172A"/>
        <name val="Segoe UI"/>
        <family val="2"/>
        <scheme val="none"/>
      </font>
      <numFmt numFmtId="22" formatCode="mmm/yy"/>
      <fill>
        <patternFill patternType="none">
          <fgColor indexed="64"/>
        </patternFill>
      </fill>
      <alignment horizontal="center" vertical="center" textRotation="0" wrapText="0" indent="0" justifyLastLine="0" shrinkToFit="0" readingOrder="0"/>
      <border diagonalUp="0" diagonalDown="0" outline="0">
        <left/>
        <right/>
        <top style="thin">
          <color rgb="FFE2E8F0"/>
        </top>
        <bottom style="thin">
          <color rgb="FFE2E8F0"/>
        </bottom>
      </border>
    </dxf>
    <dxf>
      <font>
        <b val="0"/>
        <strike val="0"/>
        <outline val="0"/>
        <shadow val="0"/>
        <u val="none"/>
        <vertAlign val="baseline"/>
        <sz val="10"/>
        <color rgb="FF0F172A"/>
        <name val="Segoe UI"/>
        <family val="2"/>
        <scheme val="none"/>
      </font>
      <numFmt numFmtId="19" formatCode="dd/mm/yyyy"/>
      <fill>
        <patternFill patternType="none">
          <fgColor indexed="64"/>
        </patternFill>
      </fill>
      <alignment horizontal="center" vertical="center" textRotation="0" wrapText="0" indent="0" justifyLastLine="0" shrinkToFit="0" readingOrder="0"/>
      <border diagonalUp="0" diagonalDown="0" outline="0">
        <left/>
        <right/>
        <top style="thin">
          <color rgb="FFE2E8F0"/>
        </top>
        <bottom style="thin">
          <color rgb="FFE2E8F0"/>
        </bottom>
      </border>
    </dxf>
    <dxf>
      <font>
        <b val="0"/>
        <strike val="0"/>
        <outline val="0"/>
        <shadow val="0"/>
        <u val="none"/>
        <vertAlign val="baseline"/>
        <sz val="10"/>
        <color rgb="FF0F172A"/>
        <name val="Segoe UI"/>
        <family val="2"/>
        <scheme val="none"/>
      </font>
      <numFmt numFmtId="19" formatCode="dd/mm/yyyy"/>
      <fill>
        <patternFill patternType="none">
          <fgColor indexed="64"/>
        </patternFill>
      </fill>
      <alignment horizontal="center" vertical="center" textRotation="0" wrapText="0" indent="0" justifyLastLine="0" shrinkToFit="0" readingOrder="0"/>
      <border diagonalUp="0" diagonalDown="0" outline="0">
        <left/>
        <right/>
        <top style="thin">
          <color rgb="FFE2E8F0"/>
        </top>
        <bottom style="thin">
          <color rgb="FFE2E8F0"/>
        </bottom>
      </border>
    </dxf>
    <dxf>
      <font>
        <b val="0"/>
        <strike val="0"/>
        <outline val="0"/>
        <shadow val="0"/>
        <u val="none"/>
        <vertAlign val="baseline"/>
        <sz val="10"/>
        <color rgb="FF0F172A"/>
        <name val="Segoe UI"/>
        <family val="2"/>
        <scheme val="none"/>
      </font>
      <fill>
        <patternFill patternType="none">
          <fgColor indexed="64"/>
        </patternFill>
      </fill>
      <alignment vertical="center" textRotation="0" wrapText="0" indent="0" justifyLastLine="0" shrinkToFit="0" readingOrder="0"/>
    </dxf>
    <dxf>
      <font>
        <b/>
        <i val="0"/>
        <strike val="0"/>
        <outline val="0"/>
        <shadow val="0"/>
        <u val="none"/>
        <vertAlign val="baseline"/>
        <sz val="10"/>
        <color rgb="FFFFFFFF"/>
        <name val="Segoe UI"/>
        <family val="2"/>
        <scheme val="none"/>
      </font>
      <fill>
        <patternFill patternType="solid">
          <fgColor indexed="64"/>
          <bgColor rgb="FF1E293B"/>
        </patternFill>
      </fill>
      <alignment horizontal="center" vertical="center" textRotation="0" wrapText="0" indent="0" justifyLastLine="0" shrinkToFit="0" readingOrder="0"/>
    </dxf>
    <dxf>
      <font>
        <b val="0"/>
        <i val="0"/>
      </font>
      <fill>
        <patternFill>
          <bgColor rgb="FFF8FAFC"/>
        </patternFill>
      </fill>
    </dxf>
    <dxf>
      <font>
        <b/>
        <i val="0"/>
        <color rgb="FF2F6DB5"/>
      </font>
    </dxf>
    <dxf>
      <font>
        <b/>
        <i val="0"/>
        <color rgb="FFB4443A"/>
      </font>
    </dxf>
    <dxf>
      <font>
        <b/>
        <i val="0"/>
        <color rgb="FF2E7D5B"/>
      </font>
    </dxf>
    <dxf>
      <font>
        <b/>
        <i val="0"/>
        <color rgb="FF92400E"/>
      </font>
      <fill>
        <patternFill>
          <bgColor rgb="FFFEF3C7"/>
        </patternFill>
      </fill>
    </dxf>
    <dxf>
      <font>
        <b/>
        <i val="0"/>
        <color rgb="FF166534"/>
      </font>
      <fill>
        <patternFill>
          <bgColor rgb="FFDCFCE7"/>
        </patternFill>
      </fill>
    </dxf>
    <dxf>
      <font>
        <b/>
        <i val="0"/>
        <color rgb="FF991B1B"/>
      </font>
      <fill>
        <patternFill>
          <bgColor rgb="FFFEE2E2"/>
        </patternFill>
      </fill>
    </dxf>
    <dxf>
      <font>
        <color theme="0"/>
        <name val="Century Gothic"/>
        <family val="2"/>
        <scheme val="major"/>
      </font>
    </dxf>
    <dxf>
      <fill>
        <patternFill>
          <bgColor theme="3" tint="-0.499984740745262"/>
        </patternFill>
      </fill>
    </dxf>
    <dxf>
      <font>
        <color theme="0"/>
        <name val="Aptos Black"/>
        <family val="2"/>
        <scheme val="none"/>
      </font>
      <border>
        <bottom style="thin">
          <color theme="5"/>
        </bottom>
        <vertical/>
        <horizontal/>
      </border>
    </dxf>
    <dxf>
      <font>
        <color theme="0"/>
      </font>
      <fill>
        <patternFill>
          <bgColor rgb="FF191036"/>
        </patternFill>
      </fill>
      <border>
        <left/>
        <right/>
        <top/>
        <bottom/>
        <vertical/>
        <horizontal/>
      </border>
    </dxf>
    <dxf>
      <font>
        <color rgb="FFFFFF00"/>
        <name val="Century Gothic"/>
        <family val="2"/>
        <scheme val="major"/>
      </font>
      <fill>
        <patternFill>
          <bgColor theme="2" tint="-0.89996032593768116"/>
        </patternFill>
      </fill>
    </dxf>
  </dxfs>
  <tableStyles count="3" defaultTableStyle="TableStyleMedium2" defaultPivotStyle="PivotStyleLight16">
    <tableStyle name="Estilo de Segmentação de Dados 1" pivot="0" table="0" count="1" xr9:uid="{F934178B-8F5D-4A85-A4AE-4DC0632D5ECD}">
      <tableStyleElement type="headerRow" dxfId="50"/>
    </tableStyle>
    <tableStyle name="Gil_estilo" pivot="0" table="0" count="10" xr9:uid="{2BD12D97-3CBE-4771-AB76-BF10F9CEB7FD}">
      <tableStyleElement type="wholeTable" dxfId="49"/>
      <tableStyleElement type="headerRow" dxfId="48"/>
    </tableStyle>
    <tableStyle name="Gil1" pivot="0" table="0" count="10" xr9:uid="{C3885367-D7FB-4AC9-BBB6-4A2E0C09F5BC}">
      <tableStyleElement type="wholeTable" dxfId="47"/>
      <tableStyleElement type="headerRow" dxfId="46"/>
    </tableStyle>
  </tableStyles>
  <colors>
    <mruColors>
      <color rgb="FFFF9900"/>
      <color rgb="FF12083A"/>
      <color rgb="FF191036"/>
      <color rgb="FF0D062C"/>
      <color rgb="FF070317"/>
      <color rgb="FFDF8E17"/>
      <color rgb="FFCCFFCC"/>
      <color rgb="FFFFCCCC"/>
      <color rgb="FFCCFF66"/>
      <color rgb="FF00CC5C"/>
    </mruColors>
  </colors>
  <extLst>
    <ext xmlns:x14="http://schemas.microsoft.com/office/spreadsheetml/2009/9/main" uri="{46F421CA-312F-682f-3DD2-61675219B42D}">
      <x14:dxfs count="16">
        <dxf>
          <fill>
            <patternFill>
              <bgColor theme="2" tint="-9.9948118533890809E-2"/>
            </patternFill>
          </fill>
        </dxf>
        <dxf>
          <fill>
            <patternFill>
              <bgColor theme="2" tint="-9.9948118533890809E-2"/>
            </patternFill>
          </fill>
        </dxf>
        <dxf>
          <font>
            <color theme="0"/>
          </font>
          <fill>
            <patternFill>
              <bgColor theme="4" tint="-0.24994659260841701"/>
            </patternFill>
          </fill>
        </dxf>
        <dxf>
          <fill>
            <patternFill>
              <bgColor theme="2" tint="-9.9948118533890809E-2"/>
            </patternFill>
          </fill>
        </dxf>
        <dxf>
          <font>
            <color theme="0"/>
          </font>
          <fill>
            <patternFill>
              <bgColor theme="5" tint="-0.24994659260841701"/>
            </patternFill>
          </fill>
        </dxf>
        <dxf>
          <font>
            <color theme="0"/>
          </font>
          <fill>
            <patternFill>
              <bgColor theme="5" tint="-0.499984740745262"/>
            </patternFill>
          </fill>
        </dxf>
        <dxf>
          <fill>
            <patternFill>
              <bgColor theme="2" tint="-9.9948118533890809E-2"/>
            </patternFill>
          </fill>
        </dxf>
        <dxf>
          <fill>
            <patternFill>
              <bgColor theme="2" tint="-9.9948118533890809E-2"/>
            </patternFill>
          </fill>
        </dxf>
        <dxf>
          <font>
            <color rgb="FF12083A"/>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Gil_estilo">
        <x14:slicerStyle name="Estilo de Segmentação de Dados 1"/>
        <x14:slicerStyle name="Gil_estilo">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Gil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[final2.xlsm]ANALISES!Tabela dinâmica11</c:name>
    <c:fmtId val="7"/>
  </c:pivotSource>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FFFF"/>
                  </a:solidFill>
                  <a:latin typeface="Segoe UI"/>
                  <a:ea typeface="Segoe UI"/>
                  <a:cs typeface="Segoe UI"/>
                </a:defRPr>
              </a:pPr>
              <a:endParaRPr lang="pt-BR"/>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6971122365801175"/>
              <c:y val="1.641266119577960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pt-BR"/>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rgbClr val="2F6DB5"/>
          </a:solidFill>
          <a:ln w="19050">
            <a:solidFill>
              <a:srgbClr val="FFFFFF"/>
            </a:solidFill>
          </a:ln>
          <a:effectLst/>
        </c:spPr>
      </c:pivotFmt>
      <c:pivotFmt>
        <c:idx val="15"/>
        <c:spPr>
          <a:solidFill>
            <a:schemeClr val="accent1"/>
          </a:solidFill>
          <a:ln w="19050">
            <a:solidFill>
              <a:schemeClr val="lt1"/>
            </a:solidFill>
          </a:ln>
          <a:effectLst/>
        </c:spPr>
      </c:pivotFmt>
      <c:pivotFmt>
        <c:idx val="16"/>
        <c:spPr>
          <a:solidFill>
            <a:srgbClr val="5B8FD0"/>
          </a:solidFill>
          <a:ln w="19050">
            <a:solidFill>
              <a:srgbClr val="FFFFFF"/>
            </a:solidFill>
          </a:ln>
          <a:effectLst/>
        </c:spPr>
      </c:pivotFmt>
      <c:pivotFmt>
        <c:idx val="17"/>
        <c:spPr>
          <a:solidFill>
            <a:schemeClr val="accent1"/>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FFFF"/>
                  </a:solidFill>
                  <a:latin typeface="Segoe UI"/>
                  <a:ea typeface="Segoe UI"/>
                  <a:cs typeface="Segoe UI"/>
                </a:defRPr>
              </a:pPr>
              <a:endParaRPr lang="pt-BR"/>
            </a:p>
          </c:txPr>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rgbClr val="2F6DB5"/>
          </a:solidFill>
          <a:ln w="19050">
            <a:solidFill>
              <a:srgbClr val="FFFFFF"/>
            </a:solidFill>
          </a:ln>
          <a:effectLst/>
        </c:spPr>
      </c:pivotFmt>
      <c:pivotFmt>
        <c:idx val="20"/>
        <c:spPr>
          <a:solidFill>
            <a:schemeClr val="accent1"/>
          </a:solidFill>
          <a:ln w="19050">
            <a:solidFill>
              <a:schemeClr val="lt1"/>
            </a:solidFill>
          </a:ln>
          <a:effectLst/>
        </c:spPr>
      </c:pivotFmt>
      <c:pivotFmt>
        <c:idx val="21"/>
        <c:spPr>
          <a:solidFill>
            <a:srgbClr val="5B8FD0"/>
          </a:solidFill>
          <a:ln w="19050">
            <a:solidFill>
              <a:srgbClr val="FFFFFF"/>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rgbClr val="3A8FA3"/>
          </a:solidFill>
          <a:ln w="19050">
            <a:solidFill>
              <a:srgbClr val="FFFFFF"/>
            </a:solidFill>
          </a:ln>
          <a:effectLst/>
        </c:spPr>
      </c:pivotFmt>
      <c:pivotFmt>
        <c:idx val="25"/>
        <c:spPr>
          <a:solidFill>
            <a:srgbClr val="3A8FA3"/>
          </a:solidFill>
          <a:ln w="19050">
            <a:solidFill>
              <a:srgbClr val="FFFFFF"/>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rgbClr val="9DBBE3"/>
          </a:solidFill>
          <a:ln w="19050">
            <a:solidFill>
              <a:srgbClr val="FFFFFF"/>
            </a:solidFill>
          </a:ln>
          <a:effectLst/>
        </c:spPr>
      </c:pivotFmt>
      <c:pivotFmt>
        <c:idx val="29"/>
        <c:spPr>
          <a:solidFill>
            <a:srgbClr val="9DBBE3"/>
          </a:solidFill>
          <a:ln w="19050">
            <a:solidFill>
              <a:srgbClr val="FFFFFF"/>
            </a:solidFill>
          </a:ln>
          <a:effectLst/>
        </c:spPr>
      </c:pivotFmt>
    </c:pivotFmts>
    <c:plotArea>
      <c:layout/>
      <c:pieChart>
        <c:varyColors val="1"/>
        <c:ser>
          <c:idx val="0"/>
          <c:order val="0"/>
          <c:tx>
            <c:strRef>
              <c:f>ANALISES!$Q$7</c:f>
              <c:strCache>
                <c:ptCount val="1"/>
                <c:pt idx="0">
                  <c:v>Soma de VlrReceita</c:v>
                </c:pt>
              </c:strCache>
            </c:strRef>
          </c:tx>
          <c:dPt>
            <c:idx val="0"/>
            <c:bubble3D val="0"/>
            <c:spPr>
              <a:solidFill>
                <a:srgbClr val="5B8FD0"/>
              </a:solidFill>
              <a:ln w="19050">
                <a:solidFill>
                  <a:srgbClr val="FFFFFF"/>
                </a:solidFill>
              </a:ln>
              <a:effectLst/>
            </c:spPr>
            <c:extLst>
              <c:ext xmlns:c16="http://schemas.microsoft.com/office/drawing/2014/chart" uri="{C3380CC4-5D6E-409C-BE32-E72D297353CC}">
                <c16:uniqueId val="{00000001-0E42-43A1-8388-26D304AB70F7}"/>
              </c:ext>
            </c:extLst>
          </c:dPt>
          <c:dPt>
            <c:idx val="1"/>
            <c:bubble3D val="0"/>
            <c:spPr>
              <a:solidFill>
                <a:srgbClr val="2F6DB5"/>
              </a:solidFill>
              <a:ln w="19050">
                <a:solidFill>
                  <a:srgbClr val="FFFFFF"/>
                </a:solidFill>
              </a:ln>
              <a:effectLst/>
            </c:spPr>
            <c:extLst>
              <c:ext xmlns:c16="http://schemas.microsoft.com/office/drawing/2014/chart" uri="{C3380CC4-5D6E-409C-BE32-E72D297353CC}">
                <c16:uniqueId val="{00000003-0E42-43A1-8388-26D304AB70F7}"/>
              </c:ext>
            </c:extLst>
          </c:dPt>
          <c:dPt>
            <c:idx val="2"/>
            <c:bubble3D val="0"/>
            <c:spPr>
              <a:solidFill>
                <a:srgbClr val="3A8FA3"/>
              </a:solidFill>
              <a:ln w="19050">
                <a:solidFill>
                  <a:srgbClr val="FFFFFF"/>
                </a:solidFill>
              </a:ln>
              <a:effectLst/>
            </c:spPr>
            <c:extLst>
              <c:ext xmlns:c16="http://schemas.microsoft.com/office/drawing/2014/chart" uri="{C3380CC4-5D6E-409C-BE32-E72D297353CC}">
                <c16:uniqueId val="{00000005-0E42-43A1-8388-26D304AB70F7}"/>
              </c:ext>
            </c:extLst>
          </c:dPt>
          <c:dPt>
            <c:idx val="3"/>
            <c:bubble3D val="0"/>
            <c:spPr>
              <a:solidFill>
                <a:srgbClr val="9DBBE3"/>
              </a:solidFill>
              <a:ln w="19050">
                <a:solidFill>
                  <a:srgbClr val="FFFFFF"/>
                </a:solidFill>
              </a:ln>
              <a:effectLst/>
            </c:spPr>
            <c:extLst>
              <c:ext xmlns:c16="http://schemas.microsoft.com/office/drawing/2014/chart" uri="{C3380CC4-5D6E-409C-BE32-E72D297353CC}">
                <c16:uniqueId val="{00000007-0E42-43A1-8388-26D304AB70F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DD9-4D18-85DF-E5ECF9B96DF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2D2-481E-975D-D2C4FB483C85}"/>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FFFF"/>
                    </a:solidFill>
                    <a:latin typeface="Segoe UI"/>
                    <a:ea typeface="Segoe UI"/>
                    <a:cs typeface="Segoe UI"/>
                  </a:defRPr>
                </a:pPr>
                <a:endParaRPr lang="pt-BR"/>
              </a:p>
            </c:txPr>
            <c:dLblPos val="inEnd"/>
            <c:showLegendKey val="0"/>
            <c:showVal val="0"/>
            <c:showCatName val="0"/>
            <c:showSerName val="0"/>
            <c:showPercent val="1"/>
            <c:showBubbleSize val="0"/>
            <c:showLeaderLines val="0"/>
            <c:extLst>
              <c:ext xmlns:c15="http://schemas.microsoft.com/office/drawing/2012/chart" uri="{CE6537A1-D6FC-4f65-9D91-7224C49458BB}"/>
            </c:extLst>
          </c:dLbls>
          <c:cat>
            <c:strRef>
              <c:f>ANALISES!$P$8:$P$12</c:f>
              <c:strCache>
                <c:ptCount val="4"/>
                <c:pt idx="0">
                  <c:v>(R) SALARIO</c:v>
                </c:pt>
                <c:pt idx="1">
                  <c:v>(R) EXTRA</c:v>
                </c:pt>
                <c:pt idx="2">
                  <c:v>(R) BONUS</c:v>
                </c:pt>
                <c:pt idx="3">
                  <c:v>(R) RENDIMENTOS</c:v>
                </c:pt>
              </c:strCache>
            </c:strRef>
          </c:cat>
          <c:val>
            <c:numRef>
              <c:f>ANALISES!$Q$8:$Q$12</c:f>
              <c:numCache>
                <c:formatCode>"R$"\ #,##0.00</c:formatCode>
                <c:ptCount val="4"/>
                <c:pt idx="0">
                  <c:v>46200</c:v>
                </c:pt>
                <c:pt idx="1">
                  <c:v>5350</c:v>
                </c:pt>
                <c:pt idx="2">
                  <c:v>2500</c:v>
                </c:pt>
                <c:pt idx="3">
                  <c:v>956.25</c:v>
                </c:pt>
              </c:numCache>
            </c:numRef>
          </c:val>
          <c:extLst>
            <c:ext xmlns:c16="http://schemas.microsoft.com/office/drawing/2014/chart" uri="{C3380CC4-5D6E-409C-BE32-E72D297353CC}">
              <c16:uniqueId val="{00000008-0E42-43A1-8388-26D304AB70F7}"/>
            </c:ext>
          </c:extLst>
        </c:ser>
        <c:ser>
          <c:idx val="1"/>
          <c:order val="1"/>
          <c:tx>
            <c:strRef>
              <c:f>ANALISES!$R$7</c:f>
              <c:strCache>
                <c:ptCount val="1"/>
                <c:pt idx="0">
                  <c:v>PercReceita</c:v>
                </c:pt>
              </c:strCache>
            </c:strRef>
          </c:tx>
          <c:dPt>
            <c:idx val="0"/>
            <c:bubble3D val="0"/>
            <c:spPr>
              <a:solidFill>
                <a:srgbClr val="5B8FD0"/>
              </a:solidFill>
              <a:ln w="19050">
                <a:solidFill>
                  <a:srgbClr val="FFFFFF"/>
                </a:solidFill>
              </a:ln>
              <a:effectLst/>
            </c:spPr>
            <c:extLst>
              <c:ext xmlns:c16="http://schemas.microsoft.com/office/drawing/2014/chart" uri="{C3380CC4-5D6E-409C-BE32-E72D297353CC}">
                <c16:uniqueId val="{0000000A-0E42-43A1-8388-26D304AB70F7}"/>
              </c:ext>
            </c:extLst>
          </c:dPt>
          <c:dPt>
            <c:idx val="1"/>
            <c:bubble3D val="0"/>
            <c:spPr>
              <a:solidFill>
                <a:srgbClr val="2F6DB5"/>
              </a:solidFill>
              <a:ln w="19050">
                <a:solidFill>
                  <a:srgbClr val="FFFFFF"/>
                </a:solidFill>
              </a:ln>
              <a:effectLst/>
            </c:spPr>
            <c:extLst>
              <c:ext xmlns:c16="http://schemas.microsoft.com/office/drawing/2014/chart" uri="{C3380CC4-5D6E-409C-BE32-E72D297353CC}">
                <c16:uniqueId val="{0000000C-0E42-43A1-8388-26D304AB70F7}"/>
              </c:ext>
            </c:extLst>
          </c:dPt>
          <c:dPt>
            <c:idx val="2"/>
            <c:bubble3D val="0"/>
            <c:spPr>
              <a:solidFill>
                <a:srgbClr val="3A8FA3"/>
              </a:solidFill>
              <a:ln w="19050">
                <a:solidFill>
                  <a:srgbClr val="FFFFFF"/>
                </a:solidFill>
              </a:ln>
              <a:effectLst/>
            </c:spPr>
            <c:extLst>
              <c:ext xmlns:c16="http://schemas.microsoft.com/office/drawing/2014/chart" uri="{C3380CC4-5D6E-409C-BE32-E72D297353CC}">
                <c16:uniqueId val="{0000000E-0E42-43A1-8388-26D304AB70F7}"/>
              </c:ext>
            </c:extLst>
          </c:dPt>
          <c:dPt>
            <c:idx val="3"/>
            <c:bubble3D val="0"/>
            <c:spPr>
              <a:solidFill>
                <a:srgbClr val="9DBBE3"/>
              </a:solidFill>
              <a:ln w="19050">
                <a:solidFill>
                  <a:srgbClr val="FFFFFF"/>
                </a:solidFill>
              </a:ln>
              <a:effectLst/>
            </c:spPr>
            <c:extLst>
              <c:ext xmlns:c16="http://schemas.microsoft.com/office/drawing/2014/chart" uri="{C3380CC4-5D6E-409C-BE32-E72D297353CC}">
                <c16:uniqueId val="{00000010-0E42-43A1-8388-26D304AB70F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3-ADD9-4D18-85DF-E5ECF9B96DF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7-02D2-481E-975D-D2C4FB483C85}"/>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FFFF"/>
                    </a:solidFill>
                    <a:latin typeface="Segoe UI"/>
                    <a:ea typeface="Segoe UI"/>
                    <a:cs typeface="Segoe UI"/>
                  </a:defRPr>
                </a:pPr>
                <a:endParaRPr lang="pt-BR"/>
              </a:p>
            </c:txPr>
            <c:showLegendKey val="0"/>
            <c:showVal val="0"/>
            <c:showCatName val="0"/>
            <c:showSerName val="0"/>
            <c:showPercent val="1"/>
            <c:showBubbleSize val="0"/>
            <c:showLeaderLines val="0"/>
            <c:extLst>
              <c:ext xmlns:c15="http://schemas.microsoft.com/office/drawing/2012/chart" uri="{CE6537A1-D6FC-4f65-9D91-7224C49458BB}"/>
            </c:extLst>
          </c:dLbls>
          <c:cat>
            <c:strRef>
              <c:f>ANALISES!$P$8:$P$12</c:f>
              <c:strCache>
                <c:ptCount val="4"/>
                <c:pt idx="0">
                  <c:v>(R) SALARIO</c:v>
                </c:pt>
                <c:pt idx="1">
                  <c:v>(R) EXTRA</c:v>
                </c:pt>
                <c:pt idx="2">
                  <c:v>(R) BONUS</c:v>
                </c:pt>
                <c:pt idx="3">
                  <c:v>(R) RENDIMENTOS</c:v>
                </c:pt>
              </c:strCache>
            </c:strRef>
          </c:cat>
          <c:val>
            <c:numRef>
              <c:f>ANALISES!$R$8:$R$12</c:f>
              <c:numCache>
                <c:formatCode>0%</c:formatCode>
                <c:ptCount val="4"/>
                <c:pt idx="0">
                  <c:v>0.83990455630042038</c:v>
                </c:pt>
                <c:pt idx="1">
                  <c:v>9.7261674809680718E-2</c:v>
                </c:pt>
                <c:pt idx="2">
                  <c:v>4.5449380752187254E-2</c:v>
                </c:pt>
                <c:pt idx="3">
                  <c:v>1.7384388137711624E-2</c:v>
                </c:pt>
              </c:numCache>
            </c:numRef>
          </c:val>
          <c:extLst>
            <c:ext xmlns:c16="http://schemas.microsoft.com/office/drawing/2014/chart" uri="{C3380CC4-5D6E-409C-BE32-E72D297353CC}">
              <c16:uniqueId val="{00000011-0E42-43A1-8388-26D304AB70F7}"/>
            </c:ext>
          </c:extLst>
        </c:ser>
        <c:dLbls>
          <c:showLegendKey val="0"/>
          <c:showVal val="0"/>
          <c:showCatName val="0"/>
          <c:showSerName val="0"/>
          <c:showPercent val="0"/>
          <c:showBubbleSize val="0"/>
          <c:showLeaderLines val="0"/>
        </c:dLbls>
        <c:firstSliceAng val="0"/>
      </c:pieChart>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rgbClr val="64748B"/>
              </a:solidFill>
              <a:latin typeface="Segoe UI"/>
              <a:ea typeface="Segoe UI"/>
              <a:cs typeface="Segoe UI"/>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rgbClr val="191036"/>
          </a:solidFill>
        </a14:hiddenFill>
      </a:ext>
    </a:extLst>
  </c:spPr>
  <c:txPr>
    <a:bodyPr/>
    <a:lstStyle/>
    <a:p>
      <a:pPr>
        <a:defRPr sz="900">
          <a:solidFill>
            <a:srgbClr val="64748B"/>
          </a:solidFill>
          <a:latin typeface="Segoe UI"/>
          <a:ea typeface="Segoe UI"/>
          <a:cs typeface="Segoe UI"/>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[final2.xlsm]ANALISES!Tabela dinâmica13</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F6DB5"/>
          </a:solidFill>
          <a:ln>
            <a:noFill/>
          </a:ln>
          <a:effectLst/>
          <a:extLst>
            <a:ext uri="{91240B29-F687-4F45-9708-019B960494DF}">
              <a14:hiddenLine xmlns:a14="http://schemas.microsoft.com/office/drawing/2010/main">
                <a:noFill/>
              </a14:hiddenLine>
            </a:ext>
          </a:ex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850" b="0" i="0" u="none" strike="noStrike" kern="1200" baseline="0">
                  <a:solidFill>
                    <a:srgbClr val="0F172A"/>
                  </a:solidFill>
                  <a:latin typeface="Segoe UI"/>
                  <a:ea typeface="Segoe UI"/>
                  <a:cs typeface="Segoe UI"/>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9900"/>
          </a:solidFill>
          <a:ln>
            <a:noFill/>
          </a:ln>
          <a:effectLst/>
        </c:spPr>
      </c:pivotFmt>
      <c:pivotFmt>
        <c:idx val="4"/>
        <c:spPr>
          <a:solidFill>
            <a:srgbClr val="FF0000"/>
          </a:solidFill>
          <a:ln>
            <a:noFill/>
          </a:ln>
          <a:effectLst/>
        </c:spPr>
      </c:pivotFmt>
      <c:pivotFmt>
        <c:idx val="5"/>
      </c:pivotFmt>
      <c:pivotFmt>
        <c:idx val="6"/>
        <c:spPr>
          <a:solidFill>
            <a:schemeClr val="accent1"/>
          </a:solidFill>
          <a:ln>
            <a:noFill/>
          </a:ln>
          <a:effectLst/>
        </c:spPr>
      </c:pivotFmt>
      <c:pivotFmt>
        <c:idx val="7"/>
      </c:pivotFmt>
      <c:pivotFmt>
        <c:idx val="8"/>
        <c:spPr>
          <a:solidFill>
            <a:srgbClr val="2F6DB5"/>
          </a:solidFill>
          <a:ln>
            <a:noFill/>
          </a:ln>
          <a:effectLst/>
          <a:extLst>
            <a:ext uri="{91240B29-F687-4F45-9708-019B960494DF}">
              <a14:hiddenLine xmlns:a14="http://schemas.microsoft.com/office/drawing/2010/main">
                <a:noFill/>
              </a14:hiddenLine>
            </a:ext>
          </a:extLst>
        </c:spPr>
      </c:pivotFmt>
      <c:pivotFmt>
        <c:idx val="9"/>
      </c:pivotFmt>
      <c:pivotFmt>
        <c:idx val="10"/>
        <c:spPr>
          <a:solidFill>
            <a:srgbClr val="2F6DB5"/>
          </a:solidFill>
          <a:ln>
            <a:noFill/>
          </a:ln>
          <a:effectLst/>
          <a:extLst>
            <a:ext uri="{91240B29-F687-4F45-9708-019B960494DF}">
              <a14:hiddenLine xmlns:a14="http://schemas.microsoft.com/office/drawing/2010/main">
                <a:noFill/>
              </a14:hiddenLine>
            </a:ext>
          </a:extLst>
        </c:spPr>
      </c:pivotFmt>
      <c:pivotFmt>
        <c:idx val="11"/>
        <c:spPr>
          <a:solidFill>
            <a:schemeClr val="accent1"/>
          </a:solidFill>
          <a:ln>
            <a:noFill/>
          </a:ln>
          <a:effectLst/>
        </c:spPr>
      </c:pivotFmt>
      <c:pivotFmt>
        <c:idx val="12"/>
      </c:pivotFmt>
      <c:pivotFmt>
        <c:idx val="13"/>
        <c:spPr>
          <a:solidFill>
            <a:schemeClr val="accent1"/>
          </a:solidFill>
          <a:ln>
            <a:noFill/>
          </a:ln>
          <a:effectLst/>
        </c:spPr>
      </c:pivotFmt>
      <c:pivotFmt>
        <c:idx val="14"/>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rgbClr val="2F6DB5"/>
          </a:solidFill>
          <a:ln>
            <a:noFill/>
          </a:ln>
          <a:effectLst/>
          <a:extLst>
            <a:ext uri="{91240B29-F687-4F45-9708-019B960494DF}">
              <a14:hiddenLine xmlns:a14="http://schemas.microsoft.com/office/drawing/2010/main">
                <a:noFill/>
              </a14:hiddenLine>
            </a:ext>
          </a:extLst>
        </c:spPr>
      </c:pivotFmt>
      <c:pivotFmt>
        <c:idx val="19"/>
        <c:spPr>
          <a:solidFill>
            <a:srgbClr val="2F6DB5"/>
          </a:solidFill>
          <a:ln>
            <a:noFill/>
          </a:ln>
          <a:effectLst/>
          <a:extLst>
            <a:ext uri="{91240B29-F687-4F45-9708-019B960494DF}">
              <a14:hiddenLine xmlns:a14="http://schemas.microsoft.com/office/drawing/2010/main">
                <a:noFill/>
              </a14:hiddenLine>
            </a:ext>
          </a:extLst>
        </c:spPr>
      </c:pivotFmt>
      <c:pivotFmt>
        <c:idx val="20"/>
        <c:spPr>
          <a:solidFill>
            <a:srgbClr val="2F6DB5"/>
          </a:solidFill>
          <a:ln>
            <a:noFill/>
          </a:ln>
          <a:effectLst/>
          <a:extLst>
            <a:ext uri="{91240B29-F687-4F45-9708-019B960494DF}">
              <a14:hiddenLine xmlns:a14="http://schemas.microsoft.com/office/drawing/2010/main">
                <a:noFill/>
              </a14:hiddenLine>
            </a:ext>
          </a:extLst>
        </c:spPr>
      </c:pivotFmt>
      <c:pivotFmt>
        <c:idx val="21"/>
        <c:spPr>
          <a:solidFill>
            <a:srgbClr val="2F6DB5"/>
          </a:solidFill>
          <a:ln>
            <a:noFill/>
          </a:ln>
          <a:effectLst/>
          <a:extLst>
            <a:ext uri="{91240B29-F687-4F45-9708-019B960494DF}">
              <a14:hiddenLine xmlns:a14="http://schemas.microsoft.com/office/drawing/2010/main">
                <a:noFill/>
              </a14:hiddenLine>
            </a:ext>
          </a:extLst>
        </c:spPr>
      </c:pivotFmt>
      <c:pivotFmt>
        <c:idx val="22"/>
        <c:spPr>
          <a:solidFill>
            <a:srgbClr val="2F6DB5"/>
          </a:solidFill>
          <a:ln>
            <a:noFill/>
          </a:ln>
          <a:effectLst/>
          <a:extLst>
            <a:ext uri="{91240B29-F687-4F45-9708-019B960494DF}">
              <a14:hiddenLine xmlns:a14="http://schemas.microsoft.com/office/drawing/2010/main">
                <a:noFill/>
              </a14:hiddenLine>
            </a:ext>
          </a:extLst>
        </c:spPr>
      </c:pivotFmt>
      <c:pivotFmt>
        <c:idx val="23"/>
        <c:spPr>
          <a:solidFill>
            <a:srgbClr val="2F6DB5"/>
          </a:solidFill>
          <a:ln>
            <a:noFill/>
          </a:ln>
          <a:effectLst/>
          <a:extLst>
            <a:ext uri="{91240B29-F687-4F45-9708-019B960494DF}">
              <a14:hiddenLine xmlns:a14="http://schemas.microsoft.com/office/drawing/2010/main">
                <a:noFill/>
              </a14:hiddenLine>
            </a:ext>
          </a:extLst>
        </c:spPr>
      </c:pivotFmt>
      <c:pivotFmt>
        <c:idx val="24"/>
        <c:spPr>
          <a:solidFill>
            <a:srgbClr val="2F6DB5"/>
          </a:solidFill>
          <a:ln>
            <a:noFill/>
          </a:ln>
          <a:effectLst/>
          <a:extLst>
            <a:ext uri="{91240B29-F687-4F45-9708-019B960494DF}">
              <a14:hiddenLine xmlns:a14="http://schemas.microsoft.com/office/drawing/2010/main">
                <a:noFill/>
              </a14:hiddenLine>
            </a:ext>
          </a:extLst>
        </c:spPr>
      </c:pivotFmt>
      <c:pivotFmt>
        <c:idx val="25"/>
        <c:spPr>
          <a:solidFill>
            <a:srgbClr val="2F6DB5"/>
          </a:solidFill>
          <a:ln>
            <a:noFill/>
          </a:ln>
          <a:effectLst/>
          <a:extLst>
            <a:ext uri="{91240B29-F687-4F45-9708-019B960494DF}">
              <a14:hiddenLine xmlns:a14="http://schemas.microsoft.com/office/drawing/2010/main">
                <a:noFill/>
              </a14:hiddenLine>
            </a:ext>
          </a:extLst>
        </c:spPr>
      </c:pivotFmt>
    </c:pivotFmts>
    <c:plotArea>
      <c:layout/>
      <c:barChart>
        <c:barDir val="bar"/>
        <c:grouping val="clustered"/>
        <c:varyColors val="0"/>
        <c:ser>
          <c:idx val="0"/>
          <c:order val="0"/>
          <c:tx>
            <c:strRef>
              <c:f>ANALISES!$V$8</c:f>
              <c:strCache>
                <c:ptCount val="1"/>
                <c:pt idx="0">
                  <c:v>Total</c:v>
                </c:pt>
              </c:strCache>
            </c:strRef>
          </c:tx>
          <c:spPr>
            <a:solidFill>
              <a:srgbClr val="2F6DB5"/>
            </a:solidFill>
            <a:ln>
              <a:noFill/>
            </a:ln>
            <a:effectLst/>
            <a:extLst>
              <a:ext uri="{91240B29-F687-4F45-9708-019B960494DF}">
                <a14:hiddenLine xmlns:a14="http://schemas.microsoft.com/office/drawing/2010/main">
                  <a:noFill/>
                </a14:hiddenLine>
              </a:ext>
            </a:extLst>
          </c:spPr>
          <c:invertIfNegative val="0"/>
          <c:dPt>
            <c:idx val="0"/>
            <c:invertIfNegative val="0"/>
            <c:bubble3D val="0"/>
            <c:extLst>
              <c:ext xmlns:c16="http://schemas.microsoft.com/office/drawing/2014/chart" uri="{C3380CC4-5D6E-409C-BE32-E72D297353CC}">
                <c16:uniqueId val="{00000001-1174-42B5-ABB8-6989BA4E7BF2}"/>
              </c:ext>
            </c:extLst>
          </c:dPt>
          <c:dPt>
            <c:idx val="1"/>
            <c:invertIfNegative val="0"/>
            <c:bubble3D val="0"/>
            <c:extLst>
              <c:ext xmlns:c16="http://schemas.microsoft.com/office/drawing/2014/chart" uri="{C3380CC4-5D6E-409C-BE32-E72D297353CC}">
                <c16:uniqueId val="{00000003-1174-42B5-ABB8-6989BA4E7BF2}"/>
              </c:ext>
            </c:extLst>
          </c:dPt>
          <c:dPt>
            <c:idx val="2"/>
            <c:invertIfNegative val="0"/>
            <c:bubble3D val="0"/>
            <c:extLst>
              <c:ext xmlns:c16="http://schemas.microsoft.com/office/drawing/2014/chart" uri="{C3380CC4-5D6E-409C-BE32-E72D297353CC}">
                <c16:uniqueId val="{00000005-1174-42B5-ABB8-6989BA4E7BF2}"/>
              </c:ext>
            </c:extLst>
          </c:dPt>
          <c:dPt>
            <c:idx val="3"/>
            <c:invertIfNegative val="0"/>
            <c:bubble3D val="0"/>
            <c:extLst>
              <c:ext xmlns:c16="http://schemas.microsoft.com/office/drawing/2014/chart" uri="{C3380CC4-5D6E-409C-BE32-E72D297353CC}">
                <c16:uniqueId val="{00000007-1174-42B5-ABB8-6989BA4E7BF2}"/>
              </c:ext>
            </c:extLst>
          </c:dPt>
          <c:dPt>
            <c:idx val="4"/>
            <c:invertIfNegative val="0"/>
            <c:bubble3D val="0"/>
            <c:extLst>
              <c:ext xmlns:c16="http://schemas.microsoft.com/office/drawing/2014/chart" uri="{C3380CC4-5D6E-409C-BE32-E72D297353CC}">
                <c16:uniqueId val="{00000009-1174-42B5-ABB8-6989BA4E7BF2}"/>
              </c:ext>
            </c:extLst>
          </c:dPt>
          <c:dPt>
            <c:idx val="5"/>
            <c:invertIfNegative val="0"/>
            <c:bubble3D val="0"/>
            <c:extLst>
              <c:ext xmlns:c16="http://schemas.microsoft.com/office/drawing/2014/chart" uri="{C3380CC4-5D6E-409C-BE32-E72D297353CC}">
                <c16:uniqueId val="{00000004-C695-463E-B138-9C27FB5A935B}"/>
              </c:ext>
            </c:extLst>
          </c:dPt>
          <c:dPt>
            <c:idx val="6"/>
            <c:invertIfNegative val="0"/>
            <c:bubble3D val="0"/>
            <c:extLst>
              <c:ext xmlns:c16="http://schemas.microsoft.com/office/drawing/2014/chart" uri="{C3380CC4-5D6E-409C-BE32-E72D297353CC}">
                <c16:uniqueId val="{00000002-C695-463E-B138-9C27FB5A935B}"/>
              </c:ext>
            </c:extLst>
          </c:dPt>
          <c:dPt>
            <c:idx val="7"/>
            <c:invertIfNegative val="0"/>
            <c:bubble3D val="0"/>
            <c:extLst>
              <c:ext xmlns:c16="http://schemas.microsoft.com/office/drawing/2014/chart" uri="{C3380CC4-5D6E-409C-BE32-E72D297353CC}">
                <c16:uniqueId val="{0000000F-1174-42B5-ABB8-6989BA4E7BF2}"/>
              </c:ext>
            </c:extLst>
          </c:dPt>
          <c:dPt>
            <c:idx val="8"/>
            <c:invertIfNegative val="0"/>
            <c:bubble3D val="0"/>
            <c:extLst>
              <c:ext xmlns:c16="http://schemas.microsoft.com/office/drawing/2014/chart" uri="{C3380CC4-5D6E-409C-BE32-E72D297353CC}">
                <c16:uniqueId val="{00000011-1174-42B5-ABB8-6989BA4E7BF2}"/>
              </c:ext>
            </c:extLst>
          </c:dPt>
          <c:dPt>
            <c:idx val="9"/>
            <c:invertIfNegative val="0"/>
            <c:bubble3D val="0"/>
            <c:extLst>
              <c:ext xmlns:c16="http://schemas.microsoft.com/office/drawing/2014/chart" uri="{C3380CC4-5D6E-409C-BE32-E72D297353CC}">
                <c16:uniqueId val="{00000003-C695-463E-B138-9C27FB5A935B}"/>
              </c:ext>
            </c:extLst>
          </c:dPt>
          <c:dPt>
            <c:idx val="10"/>
            <c:invertIfNegative val="0"/>
            <c:bubble3D val="0"/>
            <c:extLst>
              <c:ext xmlns:c16="http://schemas.microsoft.com/office/drawing/2014/chart" uri="{C3380CC4-5D6E-409C-BE32-E72D297353CC}">
                <c16:uniqueId val="{00000015-657E-4B9B-9EAB-A2185104F3FE}"/>
              </c:ext>
            </c:extLst>
          </c:dPt>
          <c:dPt>
            <c:idx val="11"/>
            <c:invertIfNegative val="0"/>
            <c:bubble3D val="0"/>
            <c:extLst>
              <c:ext xmlns:c16="http://schemas.microsoft.com/office/drawing/2014/chart" uri="{C3380CC4-5D6E-409C-BE32-E72D297353CC}">
                <c16:uniqueId val="{00000017-5B39-4F4A-BE04-DED5255D1EFA}"/>
              </c:ext>
            </c:extLst>
          </c:dPt>
          <c:dPt>
            <c:idx val="12"/>
            <c:invertIfNegative val="0"/>
            <c:bubble3D val="0"/>
            <c:extLst>
              <c:ext xmlns:c16="http://schemas.microsoft.com/office/drawing/2014/chart" uri="{C3380CC4-5D6E-409C-BE32-E72D297353CC}">
                <c16:uniqueId val="{00000019-887B-4986-A9AB-761217F70873}"/>
              </c:ext>
            </c:extLst>
          </c:dPt>
          <c:dPt>
            <c:idx val="13"/>
            <c:invertIfNegative val="0"/>
            <c:bubble3D val="0"/>
            <c:extLst>
              <c:ext xmlns:c16="http://schemas.microsoft.com/office/drawing/2014/chart" uri="{C3380CC4-5D6E-409C-BE32-E72D297353CC}">
                <c16:uniqueId val="{0000001B-56DB-4A81-A35D-C9BC82689D79}"/>
              </c:ext>
            </c:extLst>
          </c:dPt>
          <c:dPt>
            <c:idx val="14"/>
            <c:invertIfNegative val="0"/>
            <c:bubble3D val="0"/>
            <c:extLst>
              <c:ext xmlns:c16="http://schemas.microsoft.com/office/drawing/2014/chart" uri="{C3380CC4-5D6E-409C-BE32-E72D297353CC}">
                <c16:uniqueId val="{0000001D-240B-419E-8A4B-2B6F624AECEA}"/>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850" b="0" i="0" u="none" strike="noStrike" kern="1200" baseline="0">
                    <a:solidFill>
                      <a:srgbClr val="0F172A"/>
                    </a:solidFill>
                    <a:latin typeface="Segoe UI"/>
                    <a:ea typeface="Segoe UI"/>
                    <a:cs typeface="Segoe UI"/>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ANALISES!$U$9:$U$19</c:f>
              <c:strCache>
                <c:ptCount val="10"/>
                <c:pt idx="0">
                  <c:v>(D) CARTAO DE CREDITO</c:v>
                </c:pt>
                <c:pt idx="1">
                  <c:v>(D) MORADIA - ALUGUEL</c:v>
                </c:pt>
                <c:pt idx="2">
                  <c:v>(D) EMPRESTIMOS</c:v>
                </c:pt>
                <c:pt idx="3">
                  <c:v>(D) ALIMENTACAO</c:v>
                </c:pt>
                <c:pt idx="4">
                  <c:v>(D) SAUDE</c:v>
                </c:pt>
                <c:pt idx="5">
                  <c:v>(D) CONDOMINIO</c:v>
                </c:pt>
                <c:pt idx="6">
                  <c:v>(D) TRANSPORTE</c:v>
                </c:pt>
                <c:pt idx="7">
                  <c:v>(D) RESTAURANTES</c:v>
                </c:pt>
                <c:pt idx="8">
                  <c:v>(D) EDUCACAO</c:v>
                </c:pt>
                <c:pt idx="9">
                  <c:v>(D) LAZER</c:v>
                </c:pt>
              </c:strCache>
            </c:strRef>
          </c:cat>
          <c:val>
            <c:numRef>
              <c:f>ANALISES!$V$9:$V$19</c:f>
              <c:numCache>
                <c:formatCode>0.00%</c:formatCode>
                <c:ptCount val="10"/>
                <c:pt idx="0">
                  <c:v>0.24026713832642102</c:v>
                </c:pt>
                <c:pt idx="1">
                  <c:v>0.23420346425957547</c:v>
                </c:pt>
                <c:pt idx="2">
                  <c:v>0.14125396438155646</c:v>
                </c:pt>
                <c:pt idx="3">
                  <c:v>0.13095267138326419</c:v>
                </c:pt>
                <c:pt idx="4">
                  <c:v>6.0114662112710403E-2</c:v>
                </c:pt>
                <c:pt idx="5">
                  <c:v>5.7453037326177105E-2</c:v>
                </c:pt>
                <c:pt idx="6">
                  <c:v>5.140766040497681E-2</c:v>
                </c:pt>
                <c:pt idx="7">
                  <c:v>3.1105147596974865E-2</c:v>
                </c:pt>
                <c:pt idx="8">
                  <c:v>2.7811661380824585E-2</c:v>
                </c:pt>
                <c:pt idx="9">
                  <c:v>2.5430592827518906E-2</c:v>
                </c:pt>
              </c:numCache>
            </c:numRef>
          </c:val>
          <c:extLst>
            <c:ext xmlns:c16="http://schemas.microsoft.com/office/drawing/2014/chart" uri="{C3380CC4-5D6E-409C-BE32-E72D297353CC}">
              <c16:uniqueId val="{00000000-C695-463E-B138-9C27FB5A935B}"/>
            </c:ext>
          </c:extLst>
        </c:ser>
        <c:dLbls>
          <c:dLblPos val="outEnd"/>
          <c:showLegendKey val="0"/>
          <c:showVal val="1"/>
          <c:showCatName val="0"/>
          <c:showSerName val="0"/>
          <c:showPercent val="0"/>
          <c:showBubbleSize val="0"/>
        </c:dLbls>
        <c:gapWidth val="45"/>
        <c:axId val="220942112"/>
        <c:axId val="220942592"/>
      </c:barChart>
      <c:catAx>
        <c:axId val="220942112"/>
        <c:scaling>
          <c:orientation val="maxMin"/>
        </c:scaling>
        <c:delete val="0"/>
        <c:axPos val="l"/>
        <c:numFmt formatCode="General" sourceLinked="1"/>
        <c:majorTickMark val="none"/>
        <c:minorTickMark val="none"/>
        <c:tickLblPos val="nextTo"/>
        <c:spPr>
          <a:noFill/>
          <a:ln w="9525" cap="flat" cmpd="sng" algn="ctr">
            <a:solidFill>
              <a:srgbClr val="E2E8F0"/>
            </a:solidFill>
            <a:round/>
          </a:ln>
          <a:effectLst/>
        </c:spPr>
        <c:txPr>
          <a:bodyPr rot="-60000000" spcFirstLastPara="1" vertOverflow="ellipsis" vert="horz" wrap="square" anchor="ctr" anchorCtr="1"/>
          <a:lstStyle/>
          <a:p>
            <a:pPr>
              <a:defRPr sz="850" b="0" i="0" u="none" strike="noStrike" kern="1200" baseline="0">
                <a:solidFill>
                  <a:srgbClr val="64748B"/>
                </a:solidFill>
                <a:latin typeface="Segoe UI"/>
                <a:ea typeface="Segoe UI"/>
                <a:cs typeface="Segoe UI"/>
              </a:defRPr>
            </a:pPr>
            <a:endParaRPr lang="pt-BR"/>
          </a:p>
        </c:txPr>
        <c:crossAx val="220942592"/>
        <c:crosses val="autoZero"/>
        <c:auto val="1"/>
        <c:lblAlgn val="ctr"/>
        <c:lblOffset val="100"/>
        <c:noMultiLvlLbl val="0"/>
      </c:catAx>
      <c:valAx>
        <c:axId val="220942592"/>
        <c:scaling>
          <c:orientation val="minMax"/>
        </c:scaling>
        <c:delete val="1"/>
        <c:axPos val="t"/>
        <c:numFmt formatCode="0.00%" sourceLinked="1"/>
        <c:majorTickMark val="out"/>
        <c:minorTickMark val="none"/>
        <c:tickLblPos val="nextTo"/>
        <c:crossAx val="220942112"/>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900">
          <a:solidFill>
            <a:srgbClr val="64748B"/>
          </a:solidFill>
          <a:latin typeface="Segoe UI"/>
          <a:ea typeface="Segoe UI"/>
          <a:cs typeface="Segoe UI"/>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[final2.xlsm]ANALISES!Tabela dinâmica14</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A8FA3"/>
          </a:solidFill>
          <a:ln>
            <a:noFill/>
          </a:ln>
          <a:effectLst/>
          <a:extLst>
            <a:ext uri="{91240B29-F687-4F45-9708-019B960494DF}">
              <a14:hiddenLine xmlns:a14="http://schemas.microsoft.com/office/drawing/2010/main">
                <a:noFill/>
              </a14:hiddenLine>
            </a:ext>
          </a:extLst>
        </c:spPr>
        <c:marker>
          <c:symbol val="none"/>
        </c:marker>
        <c:dLbl>
          <c:idx val="0"/>
          <c:numFmt formatCode="&quot;R$&quot;\ #,##0" sourceLinked="0"/>
          <c:spPr>
            <a:noFill/>
            <a:ln>
              <a:noFill/>
            </a:ln>
            <a:effectLst/>
          </c:spPr>
          <c:txPr>
            <a:bodyPr rot="0" spcFirstLastPara="1" vertOverflow="ellipsis" vert="horz" wrap="square" lIns="38100" tIns="19050" rIns="38100" bIns="19050" anchor="ctr" anchorCtr="1">
              <a:spAutoFit/>
            </a:bodyPr>
            <a:lstStyle/>
            <a:p>
              <a:pPr algn="l">
                <a:defRPr sz="850" b="0" i="0" u="none" strike="noStrike" kern="1200" baseline="0">
                  <a:solidFill>
                    <a:srgbClr val="0F172A"/>
                  </a:solidFill>
                  <a:latin typeface="Segoe UI"/>
                  <a:ea typeface="Segoe UI"/>
                  <a:cs typeface="Segoe UI"/>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00000"/>
          </a:solidFill>
          <a:ln>
            <a:noFill/>
          </a:ln>
          <a:effectLst/>
        </c:spPr>
        <c:dLbl>
          <c:idx val="0"/>
          <c:spPr>
            <a:noFill/>
            <a:ln>
              <a:noFill/>
            </a:ln>
            <a:effectLst/>
          </c:spPr>
          <c:txPr>
            <a:bodyPr rot="0" spcFirstLastPara="1" vertOverflow="ellipsis" vert="horz" wrap="square" lIns="38100" tIns="19050" rIns="38100" bIns="19050" anchor="ctr" anchorCtr="0">
              <a:noAutofit/>
            </a:bodyPr>
            <a:lstStyle/>
            <a:p>
              <a:pPr algn="l">
                <a:defRPr sz="1200" b="1" i="0" u="none" strike="noStrike" kern="1200" baseline="0">
                  <a:solidFill>
                    <a:srgbClr val="FF9900"/>
                  </a:solidFill>
                  <a:latin typeface="+mj-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15:layout>
                <c:manualLayout>
                  <c:w val="0.28832984859943356"/>
                  <c:h val="0.11639691714836221"/>
                </c:manualLayout>
              </c15:layout>
            </c:ext>
          </c:extLst>
        </c:dLbl>
      </c:pivotFmt>
      <c:pivotFmt>
        <c:idx val="4"/>
        <c:spPr>
          <a:solidFill>
            <a:srgbClr val="3A8FA3"/>
          </a:solidFill>
          <a:ln>
            <a:noFill/>
          </a:ln>
          <a:effectLst/>
          <a:extLst>
            <a:ext uri="{91240B29-F687-4F45-9708-019B960494DF}">
              <a14:hiddenLine xmlns:a14="http://schemas.microsoft.com/office/drawing/2010/main">
                <a:noFill/>
              </a14:hiddenLine>
            </a:ext>
          </a:extLst>
        </c:spPr>
        <c:dLbl>
          <c:idx val="0"/>
          <c:numFmt formatCode="&quot;R$&quot;\ #,##0" sourceLinked="0"/>
          <c:spPr>
            <a:noFill/>
            <a:ln>
              <a:noFill/>
            </a:ln>
            <a:effectLst/>
          </c:spPr>
          <c:txPr>
            <a:bodyPr rot="0" spcFirstLastPara="1" vertOverflow="ellipsis" vert="horz" wrap="square" lIns="38100" tIns="19050" rIns="38100" bIns="19050" anchor="ctr" anchorCtr="1">
              <a:spAutoFit/>
            </a:bodyPr>
            <a:lstStyle/>
            <a:p>
              <a:pPr algn="l">
                <a:defRPr sz="850" b="0" i="0" u="none" strike="noStrike" kern="1200" baseline="0">
                  <a:solidFill>
                    <a:srgbClr val="0F172A"/>
                  </a:solidFill>
                  <a:latin typeface="Segoe UI"/>
                  <a:ea typeface="Segoe UI"/>
                  <a:cs typeface="Segoe UI"/>
                </a:defRPr>
              </a:pPr>
              <a:endParaRPr lang="pt-BR"/>
            </a:p>
          </c:txPr>
          <c:dLblPos val="outEnd"/>
          <c:showLegendKey val="0"/>
          <c:showVal val="1"/>
          <c:showCatName val="0"/>
          <c:showSerName val="0"/>
          <c:showPercent val="0"/>
          <c:showBubbleSize val="0"/>
          <c:extLst>
            <c:ext xmlns:c15="http://schemas.microsoft.com/office/drawing/2012/chart" uri="{CE6537A1-D6FC-4f65-9D91-7224C49458BB}">
              <c15:layout>
                <c:manualLayout>
                  <c:w val="0.39372896184587097"/>
                  <c:h val="6.2235067437379568E-2"/>
                </c:manualLayout>
              </c15:layout>
            </c:ext>
          </c:extLst>
        </c:dLbl>
      </c:pivotFmt>
      <c:pivotFmt>
        <c:idx val="5"/>
        <c:spPr>
          <a:solidFill>
            <a:srgbClr val="C00000"/>
          </a:solidFill>
          <a:ln>
            <a:noFill/>
          </a:ln>
          <a:effectLst/>
        </c:spPr>
        <c:dLbl>
          <c:idx val="0"/>
          <c:spPr>
            <a:noFill/>
            <a:ln>
              <a:noFill/>
            </a:ln>
            <a:effectLst/>
          </c:spPr>
          <c:txPr>
            <a:bodyPr rot="0" spcFirstLastPara="1" vertOverflow="ellipsis" vert="horz" wrap="square" lIns="38100" tIns="19050" rIns="38100" bIns="19050" anchor="ctr" anchorCtr="0">
              <a:spAutoFit/>
            </a:bodyPr>
            <a:lstStyle/>
            <a:p>
              <a:pPr algn="l">
                <a:defRPr sz="1200" b="1" i="0" u="none" strike="noStrike" kern="1200" baseline="0">
                  <a:solidFill>
                    <a:srgbClr val="FF9900"/>
                  </a:solidFill>
                  <a:latin typeface="+mj-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15:layout>
                <c:manualLayout>
                  <c:w val="0.40126191853136994"/>
                  <c:h val="6.2235067437379568E-2"/>
                </c:manualLayout>
              </c15:layout>
            </c:ext>
          </c:extLst>
        </c:dLbl>
      </c:pivotFmt>
      <c:pivotFmt>
        <c:idx val="6"/>
        <c:spPr>
          <a:solidFill>
            <a:srgbClr val="3A8FA3"/>
          </a:solidFill>
          <a:ln>
            <a:noFill/>
          </a:ln>
          <a:effectLst/>
          <a:extLst>
            <a:ext uri="{91240B29-F687-4F45-9708-019B960494DF}">
              <a14:hiddenLine xmlns:a14="http://schemas.microsoft.com/office/drawing/2010/main">
                <a:noFill/>
              </a14:hiddenLine>
            </a:ext>
          </a:extLst>
        </c:spPr>
        <c:dLbl>
          <c:idx val="0"/>
          <c:numFmt formatCode="&quot;R$&quot;\ #,##0" sourceLinked="0"/>
          <c:spPr>
            <a:noFill/>
            <a:ln>
              <a:noFill/>
            </a:ln>
            <a:effectLst/>
          </c:spPr>
          <c:txPr>
            <a:bodyPr rot="0" spcFirstLastPara="1" vertOverflow="ellipsis" vert="horz" wrap="square" lIns="38100" tIns="19050" rIns="38100" bIns="19050" anchor="ctr" anchorCtr="1">
              <a:spAutoFit/>
            </a:bodyPr>
            <a:lstStyle/>
            <a:p>
              <a:pPr algn="l">
                <a:defRPr sz="850" b="0" i="0" u="none" strike="noStrike" kern="1200" baseline="0">
                  <a:solidFill>
                    <a:srgbClr val="0F172A"/>
                  </a:solidFill>
                  <a:latin typeface="Segoe UI"/>
                  <a:ea typeface="Segoe UI"/>
                  <a:cs typeface="Segoe UI"/>
                </a:defRPr>
              </a:pPr>
              <a:endParaRPr lang="pt-BR"/>
            </a:p>
          </c:txPr>
          <c:dLblPos val="outEnd"/>
          <c:showLegendKey val="0"/>
          <c:showVal val="1"/>
          <c:showCatName val="0"/>
          <c:showSerName val="0"/>
          <c:showPercent val="0"/>
          <c:showBubbleSize val="0"/>
          <c:extLst>
            <c:ext xmlns:c15="http://schemas.microsoft.com/office/drawing/2012/chart" uri="{CE6537A1-D6FC-4f65-9D91-7224C49458BB}">
              <c15:layout>
                <c:manualLayout>
                  <c:w val="0.4539926153298634"/>
                  <c:h val="6.2235067437379568E-2"/>
                </c:manualLayout>
              </c15:layout>
            </c:ext>
          </c:extLst>
        </c:dLbl>
      </c:pivotFmt>
      <c:pivotFmt>
        <c:idx val="7"/>
        <c:spPr>
          <a:solidFill>
            <a:srgbClr val="3A8FA3"/>
          </a:solidFill>
          <a:ln>
            <a:noFill/>
          </a:ln>
          <a:effectLst/>
          <a:extLst>
            <a:ext uri="{91240B29-F687-4F45-9708-019B960494DF}">
              <a14:hiddenLine xmlns:a14="http://schemas.microsoft.com/office/drawing/2010/main">
                <a:noFill/>
              </a14:hiddenLine>
            </a:ext>
          </a:extLst>
        </c:spPr>
        <c:dLbl>
          <c:idx val="0"/>
          <c:numFmt formatCode="&quot;R$&quot;\ #,##0" sourceLinked="0"/>
          <c:spPr>
            <a:noFill/>
            <a:ln>
              <a:noFill/>
            </a:ln>
            <a:effectLst/>
          </c:spPr>
          <c:txPr>
            <a:bodyPr rot="0" spcFirstLastPara="1" vertOverflow="ellipsis" vert="horz" wrap="square" lIns="38100" tIns="19050" rIns="38100" bIns="19050" anchor="ctr" anchorCtr="1">
              <a:spAutoFit/>
            </a:bodyPr>
            <a:lstStyle/>
            <a:p>
              <a:pPr algn="l">
                <a:defRPr sz="850" b="0" i="0" u="none" strike="noStrike" kern="1200" baseline="0">
                  <a:solidFill>
                    <a:srgbClr val="0F172A"/>
                  </a:solidFill>
                  <a:latin typeface="Segoe UI"/>
                  <a:ea typeface="Segoe UI"/>
                  <a:cs typeface="Segoe UI"/>
                </a:defRPr>
              </a:pPr>
              <a:endParaRPr lang="pt-BR"/>
            </a:p>
          </c:txPr>
          <c:dLblPos val="outEnd"/>
          <c:showLegendKey val="0"/>
          <c:showVal val="1"/>
          <c:showCatName val="0"/>
          <c:showSerName val="0"/>
          <c:showPercent val="0"/>
          <c:showBubbleSize val="0"/>
          <c:extLst>
            <c:ext xmlns:c15="http://schemas.microsoft.com/office/drawing/2012/chart" uri="{CE6537A1-D6FC-4f65-9D91-7224C49458BB}">
              <c15:layout>
                <c:manualLayout>
                  <c:w val="0.4539926153298634"/>
                  <c:h val="6.2235067437379568E-2"/>
                </c:manualLayout>
              </c15:layout>
            </c:ext>
          </c:extLst>
        </c:dLbl>
      </c:pivotFmt>
      <c:pivotFmt>
        <c:idx val="8"/>
        <c:spPr>
          <a:solidFill>
            <a:srgbClr val="3A8FA3"/>
          </a:solidFill>
          <a:ln>
            <a:noFill/>
          </a:ln>
          <a:effectLst/>
          <a:extLst>
            <a:ext uri="{91240B29-F687-4F45-9708-019B960494DF}">
              <a14:hiddenLine xmlns:a14="http://schemas.microsoft.com/office/drawing/2010/main">
                <a:noFill/>
              </a14:hiddenLine>
            </a:ext>
          </a:extLst>
        </c:spPr>
        <c:dLbl>
          <c:idx val="0"/>
          <c:numFmt formatCode="&quot;R$&quot;\ #,##0" sourceLinked="0"/>
          <c:spPr>
            <a:noFill/>
            <a:ln>
              <a:noFill/>
            </a:ln>
            <a:effectLst/>
          </c:spPr>
          <c:txPr>
            <a:bodyPr rot="0" spcFirstLastPara="1" vertOverflow="ellipsis" vert="horz" wrap="square" lIns="38100" tIns="19050" rIns="38100" bIns="19050" anchor="ctr" anchorCtr="1">
              <a:spAutoFit/>
            </a:bodyPr>
            <a:lstStyle/>
            <a:p>
              <a:pPr algn="l">
                <a:defRPr sz="850" b="0" i="0" u="none" strike="noStrike" kern="1200" baseline="0">
                  <a:solidFill>
                    <a:srgbClr val="0F172A"/>
                  </a:solidFill>
                  <a:latin typeface="Segoe UI"/>
                  <a:ea typeface="Segoe UI"/>
                  <a:cs typeface="Segoe UI"/>
                </a:defRPr>
              </a:pPr>
              <a:endParaRPr lang="pt-BR"/>
            </a:p>
          </c:txPr>
          <c:dLblPos val="outEnd"/>
          <c:showLegendKey val="0"/>
          <c:showVal val="1"/>
          <c:showCatName val="0"/>
          <c:showSerName val="0"/>
          <c:showPercent val="0"/>
          <c:showBubbleSize val="0"/>
          <c:extLst>
            <c:ext xmlns:c15="http://schemas.microsoft.com/office/drawing/2012/chart" uri="{CE6537A1-D6FC-4f65-9D91-7224C49458BB}">
              <c15:layout>
                <c:manualLayout>
                  <c:w val="0.46905852870086145"/>
                  <c:h val="6.2235067437379568E-2"/>
                </c:manualLayout>
              </c15:layout>
            </c:ext>
          </c:extLst>
        </c:dLbl>
      </c:pivotFmt>
      <c:pivotFmt>
        <c:idx val="9"/>
        <c:spPr>
          <a:solidFill>
            <a:srgbClr val="3A8FA3"/>
          </a:solidFill>
          <a:ln>
            <a:noFill/>
          </a:ln>
          <a:effectLst/>
          <a:extLst>
            <a:ext uri="{91240B29-F687-4F45-9708-019B960494DF}">
              <a14:hiddenLine xmlns:a14="http://schemas.microsoft.com/office/drawing/2010/main">
                <a:noFill/>
              </a14:hiddenLine>
            </a:ext>
          </a:extLst>
        </c:spPr>
        <c:dLbl>
          <c:idx val="0"/>
          <c:numFmt formatCode="&quot;R$&quot;\ #,##0" sourceLinked="0"/>
          <c:spPr>
            <a:noFill/>
            <a:ln>
              <a:noFill/>
            </a:ln>
            <a:effectLst/>
          </c:spPr>
          <c:txPr>
            <a:bodyPr rot="0" spcFirstLastPara="1" vertOverflow="ellipsis" vert="horz" wrap="square" lIns="38100" tIns="19050" rIns="38100" bIns="19050" anchor="ctr" anchorCtr="1">
              <a:spAutoFit/>
            </a:bodyPr>
            <a:lstStyle/>
            <a:p>
              <a:pPr algn="l">
                <a:defRPr sz="850" b="0" i="0" u="none" strike="noStrike" kern="1200" baseline="0">
                  <a:solidFill>
                    <a:srgbClr val="0F172A"/>
                  </a:solidFill>
                  <a:latin typeface="Segoe UI"/>
                  <a:ea typeface="Segoe UI"/>
                  <a:cs typeface="Segoe UI"/>
                </a:defRPr>
              </a:pPr>
              <a:endParaRPr lang="pt-BR"/>
            </a:p>
          </c:txPr>
          <c:dLblPos val="outEnd"/>
          <c:showLegendKey val="0"/>
          <c:showVal val="1"/>
          <c:showCatName val="0"/>
          <c:showSerName val="0"/>
          <c:showPercent val="0"/>
          <c:showBubbleSize val="0"/>
          <c:extLst>
            <c:ext xmlns:c15="http://schemas.microsoft.com/office/drawing/2012/chart" uri="{CE6537A1-D6FC-4f65-9D91-7224C49458BB}">
              <c15:layout>
                <c:manualLayout>
                  <c:w val="0.46905852870086145"/>
                  <c:h val="6.2235067437379568E-2"/>
                </c:manualLayout>
              </c15:layout>
            </c:ext>
          </c:extLst>
        </c:dLbl>
      </c:pivotFmt>
      <c:pivotFmt>
        <c:idx val="10"/>
        <c:spPr>
          <a:solidFill>
            <a:srgbClr val="3A8FA3"/>
          </a:solidFill>
          <a:ln>
            <a:noFill/>
          </a:ln>
          <a:effectLst/>
          <a:extLst>
            <a:ext uri="{91240B29-F687-4F45-9708-019B960494DF}">
              <a14:hiddenLine xmlns:a14="http://schemas.microsoft.com/office/drawing/2010/main">
                <a:noFill/>
              </a14:hiddenLine>
            </a:ext>
          </a:extLst>
        </c:spPr>
        <c:dLbl>
          <c:idx val="0"/>
          <c:numFmt formatCode="&quot;R$&quot;\ #,##0" sourceLinked="0"/>
          <c:spPr>
            <a:noFill/>
            <a:ln>
              <a:noFill/>
            </a:ln>
            <a:effectLst/>
          </c:spPr>
          <c:txPr>
            <a:bodyPr rot="0" spcFirstLastPara="1" vertOverflow="ellipsis" vert="horz" wrap="square" lIns="38100" tIns="19050" rIns="38100" bIns="19050" anchor="ctr" anchorCtr="1">
              <a:spAutoFit/>
            </a:bodyPr>
            <a:lstStyle/>
            <a:p>
              <a:pPr algn="l">
                <a:defRPr sz="850" b="0" i="0" u="none" strike="noStrike" kern="1200" baseline="0">
                  <a:solidFill>
                    <a:srgbClr val="0F172A"/>
                  </a:solidFill>
                  <a:latin typeface="Segoe UI"/>
                  <a:ea typeface="Segoe UI"/>
                  <a:cs typeface="Segoe UI"/>
                </a:defRPr>
              </a:pPr>
              <a:endParaRPr lang="pt-BR"/>
            </a:p>
          </c:txPr>
          <c:dLblPos val="outEnd"/>
          <c:showLegendKey val="0"/>
          <c:showVal val="1"/>
          <c:showCatName val="0"/>
          <c:showSerName val="0"/>
          <c:showPercent val="0"/>
          <c:showBubbleSize val="0"/>
          <c:extLst>
            <c:ext xmlns:c15="http://schemas.microsoft.com/office/drawing/2012/chart" uri="{CE6537A1-D6FC-4f65-9D91-7224C49458BB}">
              <c15:layout>
                <c:manualLayout>
                  <c:w val="0.465292050358112"/>
                  <c:h val="6.2235067437379568E-2"/>
                </c:manualLayout>
              </c15:layout>
            </c:ext>
          </c:extLst>
        </c:dLbl>
      </c:pivotFmt>
      <c:pivotFmt>
        <c:idx val="11"/>
        <c:spPr>
          <a:solidFill>
            <a:srgbClr val="C00000"/>
          </a:solidFill>
          <a:ln>
            <a:noFill/>
          </a:ln>
          <a:effectLst/>
        </c:spPr>
        <c:dLbl>
          <c:idx val="0"/>
          <c:spPr>
            <a:noFill/>
            <a:ln>
              <a:noFill/>
            </a:ln>
            <a:effectLst/>
          </c:spPr>
          <c:txPr>
            <a:bodyPr rot="0" spcFirstLastPara="1" vertOverflow="ellipsis" vert="horz" wrap="square" lIns="38100" tIns="19050" rIns="38100" bIns="19050" anchor="ctr" anchorCtr="0">
              <a:spAutoFit/>
            </a:bodyPr>
            <a:lstStyle/>
            <a:p>
              <a:pPr algn="l">
                <a:defRPr sz="1200" b="1" i="0" u="none" strike="noStrike" kern="1200" baseline="0">
                  <a:solidFill>
                    <a:srgbClr val="FF9900"/>
                  </a:solidFill>
                  <a:latin typeface="+mj-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15:layout>
                <c:manualLayout>
                  <c:w val="0.48472707860669961"/>
                  <c:h val="3.4007707129094414E-2"/>
                </c:manualLayout>
              </c15:layout>
            </c:ext>
          </c:extLst>
        </c:dLbl>
      </c:pivotFmt>
      <c:pivotFmt>
        <c:idx val="12"/>
        <c:spPr>
          <a:solidFill>
            <a:srgbClr val="C00000"/>
          </a:solidFill>
          <a:ln>
            <a:noFill/>
          </a:ln>
          <a:effectLst/>
        </c:spPr>
        <c:dLbl>
          <c:idx val="0"/>
          <c:spPr>
            <a:noFill/>
            <a:ln>
              <a:noFill/>
            </a:ln>
            <a:effectLst/>
          </c:spPr>
          <c:txPr>
            <a:bodyPr rot="0" spcFirstLastPara="1" vertOverflow="ellipsis" vert="horz" wrap="square" lIns="38100" tIns="19050" rIns="38100" bIns="19050" anchor="ctr" anchorCtr="0">
              <a:spAutoFit/>
            </a:bodyPr>
            <a:lstStyle/>
            <a:p>
              <a:pPr algn="l">
                <a:defRPr sz="1200" b="1" i="0" u="none" strike="noStrike" kern="1200" baseline="0">
                  <a:solidFill>
                    <a:srgbClr val="FF9900"/>
                  </a:solidFill>
                  <a:latin typeface="+mj-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15:layout>
                <c:manualLayout>
                  <c:w val="0.47719412192120053"/>
                  <c:h val="3.4007707129094414E-2"/>
                </c:manualLayout>
              </c15:layout>
            </c:ext>
          </c:extLst>
        </c:dLbl>
      </c:pivotFmt>
      <c:pivotFmt>
        <c:idx val="13"/>
        <c:spPr>
          <a:solidFill>
            <a:srgbClr val="3A8FA3"/>
          </a:solidFill>
          <a:ln>
            <a:noFill/>
          </a:ln>
          <a:effectLst/>
          <a:extLst>
            <a:ext uri="{91240B29-F687-4F45-9708-019B960494DF}">
              <a14:hiddenLine xmlns:a14="http://schemas.microsoft.com/office/drawing/2010/main">
                <a:noFill/>
              </a14:hiddenLine>
            </a:ext>
          </a:extLst>
        </c:spPr>
        <c:dLbl>
          <c:idx val="0"/>
          <c:numFmt formatCode="&quot;R$&quot;\ #,##0" sourceLinked="0"/>
          <c:spPr>
            <a:noFill/>
            <a:ln>
              <a:noFill/>
            </a:ln>
            <a:effectLst/>
          </c:spPr>
          <c:txPr>
            <a:bodyPr rot="0" spcFirstLastPara="1" vertOverflow="ellipsis" vert="horz" wrap="square" lIns="38100" tIns="19050" rIns="38100" bIns="19050" anchor="ctr" anchorCtr="1">
              <a:spAutoFit/>
            </a:bodyPr>
            <a:lstStyle/>
            <a:p>
              <a:pPr algn="l">
                <a:defRPr sz="850" b="0" i="0" u="none" strike="noStrike" kern="1200" baseline="0">
                  <a:solidFill>
                    <a:srgbClr val="0F172A"/>
                  </a:solidFill>
                  <a:latin typeface="Segoe UI"/>
                  <a:ea typeface="Segoe UI"/>
                  <a:cs typeface="Segoe UI"/>
                </a:defRPr>
              </a:pPr>
              <a:endParaRPr lang="pt-BR"/>
            </a:p>
          </c:txPr>
          <c:dLblPos val="outEnd"/>
          <c:showLegendKey val="0"/>
          <c:showVal val="1"/>
          <c:showCatName val="0"/>
          <c:showSerName val="0"/>
          <c:showPercent val="0"/>
          <c:showBubbleSize val="0"/>
          <c:extLst>
            <c:ext xmlns:c15="http://schemas.microsoft.com/office/drawing/2012/chart" uri="{CE6537A1-D6FC-4f65-9D91-7224C49458BB}">
              <c15:layout>
                <c:manualLayout>
                  <c:w val="0.25307450284679006"/>
                  <c:h val="6.686191957822514E-2"/>
                </c:manualLayout>
              </c15:layout>
            </c:ext>
          </c:extLst>
        </c:dLbl>
      </c:pivotFmt>
      <c:pivotFmt>
        <c:idx val="14"/>
        <c:spPr>
          <a:solidFill>
            <a:srgbClr val="3A8FA3"/>
          </a:solidFill>
          <a:ln>
            <a:noFill/>
          </a:ln>
          <a:effectLst/>
          <a:extLst>
            <a:ext uri="{91240B29-F687-4F45-9708-019B960494DF}">
              <a14:hiddenLine xmlns:a14="http://schemas.microsoft.com/office/drawing/2010/main">
                <a:noFill/>
              </a14:hiddenLine>
            </a:ext>
          </a:extLst>
        </c:spPr>
      </c:pivotFmt>
      <c:pivotFmt>
        <c:idx val="15"/>
        <c:spPr>
          <a:solidFill>
            <a:srgbClr val="3A8FA3"/>
          </a:solidFill>
          <a:ln>
            <a:noFill/>
          </a:ln>
          <a:effectLst/>
          <a:extLst>
            <a:ext uri="{91240B29-F687-4F45-9708-019B960494DF}">
              <a14:hiddenLine xmlns:a14="http://schemas.microsoft.com/office/drawing/2010/main">
                <a:noFill/>
              </a14:hiddenLine>
            </a:ext>
          </a:extLst>
        </c:spPr>
      </c:pivotFmt>
      <c:pivotFmt>
        <c:idx val="16"/>
        <c:spPr>
          <a:solidFill>
            <a:srgbClr val="3A8FA3"/>
          </a:solidFill>
          <a:ln>
            <a:noFill/>
          </a:ln>
          <a:effectLst/>
          <a:extLst>
            <a:ext uri="{91240B29-F687-4F45-9708-019B960494DF}">
              <a14:hiddenLine xmlns:a14="http://schemas.microsoft.com/office/drawing/2010/main">
                <a:noFill/>
              </a14:hiddenLine>
            </a:ext>
          </a:extLst>
        </c:spPr>
      </c:pivotFmt>
      <c:pivotFmt>
        <c:idx val="17"/>
        <c:spPr>
          <a:solidFill>
            <a:srgbClr val="3A8FA3"/>
          </a:solidFill>
          <a:ln>
            <a:noFill/>
          </a:ln>
          <a:effectLst/>
          <a:extLst>
            <a:ext uri="{91240B29-F687-4F45-9708-019B960494DF}">
              <a14:hiddenLine xmlns:a14="http://schemas.microsoft.com/office/drawing/2010/main">
                <a:noFill/>
              </a14:hiddenLine>
            </a:ext>
          </a:extLst>
        </c:spPr>
      </c:pivotFmt>
      <c:pivotFmt>
        <c:idx val="18"/>
        <c:spPr>
          <a:solidFill>
            <a:srgbClr val="3A8FA3"/>
          </a:solidFill>
          <a:ln>
            <a:noFill/>
          </a:ln>
          <a:effectLst/>
          <a:extLst>
            <a:ext uri="{91240B29-F687-4F45-9708-019B960494DF}">
              <a14:hiddenLine xmlns:a14="http://schemas.microsoft.com/office/drawing/2010/main">
                <a:noFill/>
              </a14:hiddenLine>
            </a:ext>
          </a:extLst>
        </c:spPr>
      </c:pivotFmt>
      <c:pivotFmt>
        <c:idx val="19"/>
        <c:spPr>
          <a:solidFill>
            <a:srgbClr val="3A8FA3"/>
          </a:solidFill>
          <a:ln>
            <a:noFill/>
          </a:ln>
          <a:effectLst/>
          <a:extLst>
            <a:ext uri="{91240B29-F687-4F45-9708-019B960494DF}">
              <a14:hiddenLine xmlns:a14="http://schemas.microsoft.com/office/drawing/2010/main">
                <a:noFill/>
              </a14:hiddenLine>
            </a:ext>
          </a:extLst>
        </c:spPr>
      </c:pivotFmt>
      <c:pivotFmt>
        <c:idx val="20"/>
        <c:spPr>
          <a:solidFill>
            <a:srgbClr val="3A8FA3"/>
          </a:solidFill>
          <a:ln>
            <a:noFill/>
          </a:ln>
          <a:effectLst/>
          <a:extLst>
            <a:ext uri="{91240B29-F687-4F45-9708-019B960494DF}">
              <a14:hiddenLine xmlns:a14="http://schemas.microsoft.com/office/drawing/2010/main">
                <a:noFill/>
              </a14:hiddenLine>
            </a:ext>
          </a:extLst>
        </c:spPr>
      </c:pivotFmt>
      <c:pivotFmt>
        <c:idx val="21"/>
        <c:spPr>
          <a:solidFill>
            <a:srgbClr val="3A8FA3"/>
          </a:solidFill>
          <a:ln>
            <a:noFill/>
          </a:ln>
          <a:effectLst/>
          <a:extLst>
            <a:ext uri="{91240B29-F687-4F45-9708-019B960494DF}">
              <a14:hiddenLine xmlns:a14="http://schemas.microsoft.com/office/drawing/2010/main">
                <a:noFill/>
              </a14:hiddenLine>
            </a:ext>
          </a:extLst>
        </c:spPr>
      </c:pivotFmt>
    </c:pivotFmts>
    <c:plotArea>
      <c:layout/>
      <c:barChart>
        <c:barDir val="bar"/>
        <c:grouping val="clustered"/>
        <c:varyColors val="0"/>
        <c:ser>
          <c:idx val="0"/>
          <c:order val="0"/>
          <c:tx>
            <c:strRef>
              <c:f>ANALISES!$Y$8</c:f>
              <c:strCache>
                <c:ptCount val="1"/>
                <c:pt idx="0">
                  <c:v>Total</c:v>
                </c:pt>
              </c:strCache>
            </c:strRef>
          </c:tx>
          <c:spPr>
            <a:solidFill>
              <a:srgbClr val="3A8FA3"/>
            </a:solidFill>
            <a:ln>
              <a:noFill/>
            </a:ln>
            <a:effectLst/>
            <a:extLst>
              <a:ext uri="{91240B29-F687-4F45-9708-019B960494DF}">
                <a14:hiddenLine xmlns:a14="http://schemas.microsoft.com/office/drawing/2010/main">
                  <a:noFill/>
                </a14:hiddenLine>
              </a:ext>
            </a:extLst>
          </c:spPr>
          <c:invertIfNegative val="0"/>
          <c:dPt>
            <c:idx val="0"/>
            <c:invertIfNegative val="0"/>
            <c:bubble3D val="0"/>
            <c:spPr>
              <a:solidFill>
                <a:srgbClr val="3A8FA3"/>
              </a:solidFill>
              <a:ln>
                <a:noFill/>
              </a:ln>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D-D88C-47E6-800B-85D20A27AED2}"/>
              </c:ext>
            </c:extLst>
          </c:dPt>
          <c:dPt>
            <c:idx val="1"/>
            <c:invertIfNegative val="0"/>
            <c:bubble3D val="0"/>
            <c:extLst>
              <c:ext xmlns:c16="http://schemas.microsoft.com/office/drawing/2014/chart" uri="{C3380CC4-5D6E-409C-BE32-E72D297353CC}">
                <c16:uniqueId val="{0000000C-D88C-47E6-800B-85D20A27AED2}"/>
              </c:ext>
            </c:extLst>
          </c:dPt>
          <c:dPt>
            <c:idx val="2"/>
            <c:invertIfNegative val="0"/>
            <c:bubble3D val="0"/>
            <c:extLst>
              <c:ext xmlns:c16="http://schemas.microsoft.com/office/drawing/2014/chart" uri="{C3380CC4-5D6E-409C-BE32-E72D297353CC}">
                <c16:uniqueId val="{00000005-81AC-48F3-B459-D3600962CEB9}"/>
              </c:ext>
            </c:extLst>
          </c:dPt>
          <c:dPt>
            <c:idx val="3"/>
            <c:invertIfNegative val="0"/>
            <c:bubble3D val="0"/>
            <c:extLst>
              <c:ext xmlns:c16="http://schemas.microsoft.com/office/drawing/2014/chart" uri="{C3380CC4-5D6E-409C-BE32-E72D297353CC}">
                <c16:uniqueId val="{00000007-81AC-48F3-B459-D3600962CEB9}"/>
              </c:ext>
            </c:extLst>
          </c:dPt>
          <c:dPt>
            <c:idx val="4"/>
            <c:invertIfNegative val="0"/>
            <c:bubble3D val="0"/>
            <c:extLst>
              <c:ext xmlns:c16="http://schemas.microsoft.com/office/drawing/2014/chart" uri="{C3380CC4-5D6E-409C-BE32-E72D297353CC}">
                <c16:uniqueId val="{00000009-D88C-47E6-800B-85D20A27AED2}"/>
              </c:ext>
            </c:extLst>
          </c:dPt>
          <c:dPt>
            <c:idx val="5"/>
            <c:invertIfNegative val="0"/>
            <c:bubble3D val="0"/>
            <c:spPr>
              <a:solidFill>
                <a:srgbClr val="3A8FA3"/>
              </a:solidFill>
              <a:ln>
                <a:noFill/>
              </a:ln>
              <a:effectLst/>
              <a:extLst>
                <a:ext uri="{91240B29-F687-4F45-9708-019B960494DF}">
                  <a14:hiddenLine xmlns:a14="http://schemas.microsoft.com/office/drawing/2010/main">
                    <a:noFill/>
                  </a14:hiddenLine>
                </a:ext>
              </a:extLst>
            </c:spPr>
            <c:extLst>
              <c:ext xmlns:c16="http://schemas.microsoft.com/office/drawing/2014/chart" uri="{C3380CC4-5D6E-409C-BE32-E72D297353CC}">
                <c16:uniqueId val="{00000008-D88C-47E6-800B-85D20A27AED2}"/>
              </c:ext>
            </c:extLst>
          </c:dPt>
          <c:dPt>
            <c:idx val="6"/>
            <c:invertIfNegative val="0"/>
            <c:bubble3D val="0"/>
            <c:extLst>
              <c:ext xmlns:c16="http://schemas.microsoft.com/office/drawing/2014/chart" uri="{C3380CC4-5D6E-409C-BE32-E72D297353CC}">
                <c16:uniqueId val="{00000007-D88C-47E6-800B-85D20A27AED2}"/>
              </c:ext>
            </c:extLst>
          </c:dPt>
          <c:dPt>
            <c:idx val="7"/>
            <c:invertIfNegative val="0"/>
            <c:bubble3D val="0"/>
            <c:extLst>
              <c:ext xmlns:c16="http://schemas.microsoft.com/office/drawing/2014/chart" uri="{C3380CC4-5D6E-409C-BE32-E72D297353CC}">
                <c16:uniqueId val="{00000006-D88C-47E6-800B-85D20A27AED2}"/>
              </c:ext>
            </c:extLst>
          </c:dPt>
          <c:dPt>
            <c:idx val="8"/>
            <c:invertIfNegative val="0"/>
            <c:bubble3D val="0"/>
            <c:extLst>
              <c:ext xmlns:c16="http://schemas.microsoft.com/office/drawing/2014/chart" uri="{C3380CC4-5D6E-409C-BE32-E72D297353CC}">
                <c16:uniqueId val="{00000005-D88C-47E6-800B-85D20A27AED2}"/>
              </c:ext>
            </c:extLst>
          </c:dPt>
          <c:dPt>
            <c:idx val="9"/>
            <c:invertIfNegative val="0"/>
            <c:bubble3D val="0"/>
            <c:extLst>
              <c:ext xmlns:c16="http://schemas.microsoft.com/office/drawing/2014/chart" uri="{C3380CC4-5D6E-409C-BE32-E72D297353CC}">
                <c16:uniqueId val="{00000004-D88C-47E6-800B-85D20A27AED2}"/>
              </c:ext>
            </c:extLst>
          </c:dPt>
          <c:dPt>
            <c:idx val="10"/>
            <c:invertIfNegative val="0"/>
            <c:bubble3D val="0"/>
            <c:extLst>
              <c:ext xmlns:c16="http://schemas.microsoft.com/office/drawing/2014/chart" uri="{C3380CC4-5D6E-409C-BE32-E72D297353CC}">
                <c16:uniqueId val="{00000000-26F2-401F-810C-498E2C6B80CC}"/>
              </c:ext>
            </c:extLst>
          </c:dPt>
          <c:dPt>
            <c:idx val="11"/>
            <c:invertIfNegative val="0"/>
            <c:bubble3D val="0"/>
            <c:extLst>
              <c:ext xmlns:c16="http://schemas.microsoft.com/office/drawing/2014/chart" uri="{C3380CC4-5D6E-409C-BE32-E72D297353CC}">
                <c16:uniqueId val="{00000013-D2AB-47E7-B180-B68CF325C052}"/>
              </c:ext>
            </c:extLst>
          </c:dPt>
          <c:dPt>
            <c:idx val="12"/>
            <c:invertIfNegative val="0"/>
            <c:bubble3D val="0"/>
            <c:extLst>
              <c:ext xmlns:c16="http://schemas.microsoft.com/office/drawing/2014/chart" uri="{C3380CC4-5D6E-409C-BE32-E72D297353CC}">
                <c16:uniqueId val="{00000016-9C59-4769-89AE-A5B0EBC051A9}"/>
              </c:ext>
            </c:extLst>
          </c:dPt>
          <c:dPt>
            <c:idx val="13"/>
            <c:invertIfNegative val="0"/>
            <c:bubble3D val="0"/>
            <c:extLst>
              <c:ext xmlns:c16="http://schemas.microsoft.com/office/drawing/2014/chart" uri="{C3380CC4-5D6E-409C-BE32-E72D297353CC}">
                <c16:uniqueId val="{00000017-1B88-4B14-BC6B-D2D6F82B7D24}"/>
              </c:ext>
            </c:extLst>
          </c:dPt>
          <c:dPt>
            <c:idx val="14"/>
            <c:invertIfNegative val="0"/>
            <c:bubble3D val="0"/>
            <c:extLst>
              <c:ext xmlns:c16="http://schemas.microsoft.com/office/drawing/2014/chart" uri="{C3380CC4-5D6E-409C-BE32-E72D297353CC}">
                <c16:uniqueId val="{00000018-7B42-4495-BD09-0F14EC90BA7B}"/>
              </c:ext>
            </c:extLst>
          </c:dPt>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4539926153298634"/>
                      <c:h val="6.2235067437379568E-2"/>
                    </c:manualLayout>
                  </c15:layout>
                </c:ext>
                <c:ext xmlns:c16="http://schemas.microsoft.com/office/drawing/2014/chart" uri="{C3380CC4-5D6E-409C-BE32-E72D297353CC}">
                  <c16:uniqueId val="{0000000D-D88C-47E6-800B-85D20A27AED2}"/>
                </c:ext>
              </c:extLst>
            </c:dLbl>
            <c:dLbl>
              <c:idx val="5"/>
              <c:dLblPos val="outEnd"/>
              <c:showLegendKey val="0"/>
              <c:showVal val="1"/>
              <c:showCatName val="0"/>
              <c:showSerName val="0"/>
              <c:showPercent val="0"/>
              <c:showBubbleSize val="0"/>
              <c:extLst>
                <c:ext xmlns:c15="http://schemas.microsoft.com/office/drawing/2012/chart" uri="{CE6537A1-D6FC-4f65-9D91-7224C49458BB}">
                  <c15:layout>
                    <c:manualLayout>
                      <c:w val="0.4539926153298634"/>
                      <c:h val="6.2235067437379568E-2"/>
                    </c:manualLayout>
                  </c15:layout>
                </c:ext>
                <c:ext xmlns:c16="http://schemas.microsoft.com/office/drawing/2014/chart" uri="{C3380CC4-5D6E-409C-BE32-E72D297353CC}">
                  <c16:uniqueId val="{00000008-D88C-47E6-800B-85D20A27AED2}"/>
                </c:ext>
              </c:extLst>
            </c:dLbl>
            <c:numFmt formatCode="&quot;R$&quot;\ #,##0" sourceLinked="0"/>
            <c:spPr>
              <a:noFill/>
              <a:ln>
                <a:noFill/>
              </a:ln>
              <a:effectLst/>
            </c:spPr>
            <c:txPr>
              <a:bodyPr rot="0" spcFirstLastPara="1" vertOverflow="ellipsis" vert="horz" wrap="square" lIns="38100" tIns="19050" rIns="38100" bIns="19050" anchor="ctr" anchorCtr="1">
                <a:spAutoFit/>
              </a:bodyPr>
              <a:lstStyle/>
              <a:p>
                <a:pPr algn="l">
                  <a:defRPr sz="850" b="0" i="0" u="none" strike="noStrike" kern="1200" baseline="0">
                    <a:solidFill>
                      <a:srgbClr val="0F172A"/>
                    </a:solidFill>
                    <a:latin typeface="Segoe UI"/>
                    <a:ea typeface="Segoe UI"/>
                    <a:cs typeface="Segoe UI"/>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ANALISES!$X$9:$X$19</c:f>
              <c:strCache>
                <c:ptCount val="10"/>
                <c:pt idx="0">
                  <c:v>(D) CARTAO DE CREDITO</c:v>
                </c:pt>
                <c:pt idx="1">
                  <c:v>(D) MORADIA - ALUGUEL</c:v>
                </c:pt>
                <c:pt idx="2">
                  <c:v>(D) EMPRESTIMOS</c:v>
                </c:pt>
                <c:pt idx="3">
                  <c:v>(D) ALIMENTACAO</c:v>
                </c:pt>
                <c:pt idx="4">
                  <c:v>(D) SAUDE</c:v>
                </c:pt>
                <c:pt idx="5">
                  <c:v>(D) CONDOMINIO</c:v>
                </c:pt>
                <c:pt idx="6">
                  <c:v>(D) TRANSPORTE</c:v>
                </c:pt>
                <c:pt idx="7">
                  <c:v>(D) RESTAURANTES</c:v>
                </c:pt>
                <c:pt idx="8">
                  <c:v>(D) EDUCACAO</c:v>
                </c:pt>
                <c:pt idx="9">
                  <c:v>(D) LAZER</c:v>
                </c:pt>
              </c:strCache>
            </c:strRef>
          </c:cat>
          <c:val>
            <c:numRef>
              <c:f>ANALISES!$Y$9:$Y$19</c:f>
              <c:numCache>
                <c:formatCode>"R$"\ #,##0.00</c:formatCode>
                <c:ptCount val="10"/>
                <c:pt idx="0">
                  <c:v>9848.5499999999993</c:v>
                </c:pt>
                <c:pt idx="1">
                  <c:v>9600</c:v>
                </c:pt>
                <c:pt idx="2">
                  <c:v>5790</c:v>
                </c:pt>
                <c:pt idx="3">
                  <c:v>5367.75</c:v>
                </c:pt>
                <c:pt idx="4">
                  <c:v>2464.1</c:v>
                </c:pt>
                <c:pt idx="5">
                  <c:v>2355</c:v>
                </c:pt>
                <c:pt idx="6">
                  <c:v>2107.1999999999998</c:v>
                </c:pt>
                <c:pt idx="7">
                  <c:v>1275</c:v>
                </c:pt>
                <c:pt idx="8">
                  <c:v>1140</c:v>
                </c:pt>
                <c:pt idx="9">
                  <c:v>1042.4000000000001</c:v>
                </c:pt>
              </c:numCache>
            </c:numRef>
          </c:val>
          <c:extLst>
            <c:ext xmlns:c16="http://schemas.microsoft.com/office/drawing/2014/chart" uri="{C3380CC4-5D6E-409C-BE32-E72D297353CC}">
              <c16:uniqueId val="{00000003-D88C-47E6-800B-85D20A27AED2}"/>
            </c:ext>
          </c:extLst>
        </c:ser>
        <c:dLbls>
          <c:dLblPos val="outEnd"/>
          <c:showLegendKey val="0"/>
          <c:showVal val="1"/>
          <c:showCatName val="0"/>
          <c:showSerName val="0"/>
          <c:showPercent val="0"/>
          <c:showBubbleSize val="0"/>
        </c:dLbls>
        <c:gapWidth val="45"/>
        <c:axId val="107835791"/>
        <c:axId val="107838191"/>
      </c:barChart>
      <c:catAx>
        <c:axId val="107835791"/>
        <c:scaling>
          <c:orientation val="maxMin"/>
        </c:scaling>
        <c:delete val="0"/>
        <c:axPos val="l"/>
        <c:numFmt formatCode="General" sourceLinked="1"/>
        <c:majorTickMark val="none"/>
        <c:minorTickMark val="none"/>
        <c:tickLblPos val="nextTo"/>
        <c:spPr>
          <a:noFill/>
          <a:ln w="9525" cap="flat" cmpd="sng" algn="ctr">
            <a:solidFill>
              <a:srgbClr val="E2E8F0"/>
            </a:solidFill>
            <a:round/>
          </a:ln>
          <a:effectLst/>
        </c:spPr>
        <c:txPr>
          <a:bodyPr rot="-60000000" spcFirstLastPara="1" vertOverflow="ellipsis" vert="horz" wrap="square" anchor="ctr" anchorCtr="1"/>
          <a:lstStyle/>
          <a:p>
            <a:pPr>
              <a:defRPr sz="850" b="0" i="0" u="none" strike="noStrike" kern="1200" baseline="0">
                <a:solidFill>
                  <a:srgbClr val="64748B"/>
                </a:solidFill>
                <a:latin typeface="Segoe UI"/>
                <a:ea typeface="Segoe UI"/>
                <a:cs typeface="Segoe UI"/>
              </a:defRPr>
            </a:pPr>
            <a:endParaRPr lang="pt-BR"/>
          </a:p>
        </c:txPr>
        <c:crossAx val="107838191"/>
        <c:crosses val="autoZero"/>
        <c:auto val="1"/>
        <c:lblAlgn val="ctr"/>
        <c:lblOffset val="100"/>
        <c:noMultiLvlLbl val="0"/>
      </c:catAx>
      <c:valAx>
        <c:axId val="107838191"/>
        <c:scaling>
          <c:orientation val="minMax"/>
        </c:scaling>
        <c:delete val="1"/>
        <c:axPos val="t"/>
        <c:numFmt formatCode="&quot;R$&quot;\ #,##0.00" sourceLinked="1"/>
        <c:majorTickMark val="out"/>
        <c:minorTickMark val="none"/>
        <c:tickLblPos val="nextTo"/>
        <c:crossAx val="107835791"/>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rgbClr val="191036"/>
          </a:solidFill>
        </a14:hiddenFill>
      </a:ext>
    </a:extLst>
  </c:spPr>
  <c:txPr>
    <a:bodyPr/>
    <a:lstStyle/>
    <a:p>
      <a:pPr>
        <a:defRPr sz="900">
          <a:solidFill>
            <a:srgbClr val="64748B"/>
          </a:solidFill>
          <a:latin typeface="Segoe UI"/>
          <a:ea typeface="Segoe UI"/>
          <a:cs typeface="Segoe UI"/>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[final2.xlsm]ANALISES!Tabela dinâmica1</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numFmt formatCode="&quot;R$&quot;\ #,##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layout>
            <c:manualLayout>
              <c:x val="-7.0648903913027389E-2"/>
              <c:y val="-0.28703514862167706"/>
            </c:manualLayout>
          </c:layout>
          <c:numFmt formatCode="&quot;R$&quot;\ #,##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BR"/>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layout>
            <c:manualLayout>
              <c:x val="-0.15986073012666085"/>
              <c:y val="-0.10934672328444839"/>
            </c:manualLayout>
          </c:layout>
          <c:numFmt formatCode="&quot;R$&quot;\ #,##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BR"/>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layout>
            <c:manualLayout>
              <c:x val="-9.9745684155012435E-2"/>
              <c:y val="-0.11618089348972642"/>
            </c:manualLayout>
          </c:layout>
          <c:numFmt formatCode="&quot;R$&quot;\ #,##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BR"/>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layout>
            <c:manualLayout>
              <c:x val="-0.10756887506913118"/>
              <c:y val="-0.12301506369500446"/>
            </c:manualLayout>
          </c:layout>
          <c:numFmt formatCode="&quot;R$&quot;\ #,##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BR"/>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layout>
            <c:manualLayout>
              <c:x val="-4.0745786011034492E-2"/>
              <c:y val="-0.10934672328444839"/>
            </c:manualLayout>
          </c:layout>
          <c:numFmt formatCode="&quot;R$&quot;\ #,##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BR"/>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
        <c:idx val="1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
        <c:idx val="12"/>
        <c:spPr>
          <a:ln w="31750" cap="rnd">
            <a:solidFill>
              <a:srgbClr val="2E7D5B"/>
            </a:solidFill>
            <a:round/>
          </a:ln>
          <a:effectLst>
            <a:outerShdw dist="25400" dir="2700000" algn="tl" rotWithShape="0">
              <a:schemeClr val="accent1"/>
            </a:outerShdw>
          </a:effectLst>
        </c:spPr>
        <c:marker>
          <c:symbol val="circle"/>
          <c:size val="7"/>
          <c:spPr>
            <a:solidFill>
              <a:srgbClr val="2E7D5B"/>
            </a:solidFill>
            <a:ln w="31750">
              <a:solidFill>
                <a:srgbClr val="2E7D5B"/>
              </a:solidFill>
              <a:prstDash val="solid"/>
              <a:round/>
            </a:ln>
            <a:effectLst/>
          </c:spPr>
        </c:marker>
        <c:dLbl>
          <c:idx val="0"/>
          <c:numFmt formatCode="&quot;R$&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F172A"/>
                  </a:solidFill>
                  <a:latin typeface="Segoe UI"/>
                  <a:ea typeface="Segoe UI"/>
                  <a:cs typeface="Segoe UI"/>
                </a:defRPr>
              </a:pPr>
              <a:endParaRPr lang="pt-BR"/>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237624425776544"/>
          <c:y val="6.8341702052780243E-2"/>
          <c:w val="0.87875202327396595"/>
          <c:h val="0.76731964382672635"/>
        </c:manualLayout>
      </c:layout>
      <c:lineChart>
        <c:grouping val="standard"/>
        <c:varyColors val="0"/>
        <c:ser>
          <c:idx val="0"/>
          <c:order val="0"/>
          <c:tx>
            <c:strRef>
              <c:f>ANALISES!$AI$8</c:f>
              <c:strCache>
                <c:ptCount val="1"/>
                <c:pt idx="0">
                  <c:v>Total</c:v>
                </c:pt>
              </c:strCache>
            </c:strRef>
          </c:tx>
          <c:spPr>
            <a:ln w="31750" cap="rnd">
              <a:solidFill>
                <a:srgbClr val="2E7D5B"/>
              </a:solidFill>
              <a:round/>
            </a:ln>
            <a:effectLst>
              <a:outerShdw dist="25400" dir="2700000" algn="tl" rotWithShape="0">
                <a:schemeClr val="accent1"/>
              </a:outerShdw>
            </a:effectLst>
          </c:spPr>
          <c:marker>
            <c:symbol val="circle"/>
            <c:size val="7"/>
            <c:spPr>
              <a:solidFill>
                <a:srgbClr val="2E7D5B"/>
              </a:solidFill>
              <a:ln w="31750">
                <a:solidFill>
                  <a:srgbClr val="2E7D5B"/>
                </a:solidFill>
                <a:prstDash val="solid"/>
                <a:round/>
              </a:ln>
              <a:effectLst/>
            </c:spPr>
          </c:marker>
          <c:dLbls>
            <c:numFmt formatCode="&quot;R$&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F172A"/>
                    </a:solidFill>
                    <a:latin typeface="Segoe UI"/>
                    <a:ea typeface="Segoe UI"/>
                    <a:cs typeface="Segoe UI"/>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ANALISES!$AH$9:$AH$12</c:f>
              <c:strCache>
                <c:ptCount val="3"/>
                <c:pt idx="0">
                  <c:v>ago/26</c:v>
                </c:pt>
                <c:pt idx="1">
                  <c:v>set/26</c:v>
                </c:pt>
                <c:pt idx="2">
                  <c:v>out/26</c:v>
                </c:pt>
              </c:strCache>
            </c:strRef>
          </c:cat>
          <c:val>
            <c:numRef>
              <c:f>ANALISES!$AI$9:$AI$12</c:f>
              <c:numCache>
                <c:formatCode>"R$"\ #.##000</c:formatCode>
                <c:ptCount val="3"/>
                <c:pt idx="0">
                  <c:v>1500</c:v>
                </c:pt>
                <c:pt idx="1">
                  <c:v>1500</c:v>
                </c:pt>
                <c:pt idx="2">
                  <c:v>1500</c:v>
                </c:pt>
              </c:numCache>
            </c:numRef>
          </c:val>
          <c:smooth val="0"/>
          <c:extLst>
            <c:ext xmlns:c16="http://schemas.microsoft.com/office/drawing/2014/chart" uri="{C3380CC4-5D6E-409C-BE32-E72D297353CC}">
              <c16:uniqueId val="{00000007-0F01-46B2-9E8A-10A3954F1EC2}"/>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376921903"/>
        <c:axId val="376922383"/>
      </c:lineChart>
      <c:catAx>
        <c:axId val="376921903"/>
        <c:scaling>
          <c:orientation val="minMax"/>
        </c:scaling>
        <c:delete val="0"/>
        <c:axPos val="b"/>
        <c:numFmt formatCode="General" sourceLinked="1"/>
        <c:majorTickMark val="none"/>
        <c:minorTickMark val="none"/>
        <c:tickLblPos val="nextTo"/>
        <c:spPr>
          <a:noFill/>
          <a:ln w="12700" cap="flat" cmpd="sng" algn="ctr">
            <a:solidFill>
              <a:srgbClr val="E2E8F0"/>
            </a:solidFill>
            <a:round/>
          </a:ln>
          <a:effectLst/>
        </c:spPr>
        <c:txPr>
          <a:bodyPr rot="-60000000" spcFirstLastPara="1" vertOverflow="ellipsis" vert="horz" wrap="square" anchor="ctr" anchorCtr="1"/>
          <a:lstStyle/>
          <a:p>
            <a:pPr>
              <a:defRPr sz="900" b="0" i="0" u="none" strike="noStrike" kern="1200" spc="100" baseline="0">
                <a:solidFill>
                  <a:srgbClr val="64748B"/>
                </a:solidFill>
                <a:latin typeface="Segoe UI"/>
                <a:ea typeface="Segoe UI"/>
                <a:cs typeface="Segoe UI"/>
              </a:defRPr>
            </a:pPr>
            <a:endParaRPr lang="pt-BR"/>
          </a:p>
        </c:txPr>
        <c:crossAx val="376922383"/>
        <c:crosses val="autoZero"/>
        <c:auto val="1"/>
        <c:lblAlgn val="ctr"/>
        <c:lblOffset val="100"/>
        <c:noMultiLvlLbl val="0"/>
      </c:catAx>
      <c:valAx>
        <c:axId val="376922383"/>
        <c:scaling>
          <c:orientation val="minMax"/>
          <c:min val="0"/>
        </c:scaling>
        <c:delete val="0"/>
        <c:axPos val="l"/>
        <c:majorGridlines>
          <c:spPr>
            <a:ln w="6350" cap="flat" cmpd="sng" algn="ctr">
              <a:solidFill>
                <a:srgbClr val="E2E8F0"/>
              </a:solidFill>
              <a:round/>
            </a:ln>
            <a:effectLst/>
          </c:spPr>
        </c:majorGridlines>
        <c:numFmt formatCode="&quot;R$&quot;\ #,##0"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50" b="0" i="0" u="none" strike="noStrike" kern="1200" baseline="0">
                <a:solidFill>
                  <a:srgbClr val="64748B"/>
                </a:solidFill>
                <a:latin typeface="Segoe UI"/>
                <a:ea typeface="Segoe UI"/>
                <a:cs typeface="Segoe UI"/>
              </a:defRPr>
            </a:pPr>
            <a:endParaRPr lang="pt-BR"/>
          </a:p>
        </c:txPr>
        <c:crossAx val="376921903"/>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rgbClr val="B01513"/>
          </a:solidFill>
        </a14:hiddenFill>
      </a:ext>
      <a:ext uri="{91240B29-F687-4F45-9708-019B960494DF}">
        <a14:hiddenLine xmlns:a14="http://schemas.microsoft.com/office/drawing/2010/main" w="9525" cap="flat" cmpd="sng" algn="ctr">
          <a:solidFill>
            <a:srgbClr val="B01513"/>
          </a:solidFill>
          <a:round/>
        </a14:hiddenLine>
      </a:ext>
    </a:extLst>
  </c:spPr>
  <c:txPr>
    <a:bodyPr/>
    <a:lstStyle/>
    <a:p>
      <a:pPr>
        <a:defRPr sz="900">
          <a:solidFill>
            <a:srgbClr val="64748B"/>
          </a:solidFill>
          <a:latin typeface="Segoe UI"/>
          <a:ea typeface="Segoe UI"/>
          <a:cs typeface="Segoe UI"/>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[final2.xlsm]ANALISES!Tabela dinâmica2</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98A1B"/>
          </a:solidFill>
          <a:ln>
            <a:noFill/>
          </a:ln>
          <a:effectLst/>
          <a:extLst>
            <a:ext uri="{91240B29-F687-4F45-9708-019B960494DF}">
              <a14:hiddenLine xmlns:a14="http://schemas.microsoft.com/office/drawing/2010/main">
                <a:noFill/>
              </a14:hiddenLine>
            </a:ext>
          </a:extLst>
        </c:spPr>
        <c:marker>
          <c:symbol val="none"/>
        </c:marker>
        <c:dLbl>
          <c:idx val="0"/>
          <c:numFmt formatCode="&quot;R$&quot;\ #,##0" sourceLinked="0"/>
          <c:spPr>
            <a:noFill/>
            <a:ln>
              <a:noFill/>
            </a:ln>
            <a:effectLst/>
          </c:spPr>
          <c:txPr>
            <a:bodyPr rot="0" spcFirstLastPara="1" vertOverflow="ellipsis" vert="horz" wrap="square" lIns="38100" tIns="19050" rIns="38100" bIns="19050" anchor="ctr" anchorCtr="1">
              <a:spAutoFit/>
            </a:bodyPr>
            <a:lstStyle/>
            <a:p>
              <a:pPr>
                <a:defRPr sz="850" b="0" i="0" u="none" strike="noStrike" kern="1200" baseline="0">
                  <a:solidFill>
                    <a:srgbClr val="0F172A"/>
                  </a:solidFill>
                  <a:latin typeface="Segoe UI"/>
                  <a:ea typeface="Segoe UI"/>
                  <a:cs typeface="Segoe UI"/>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98A1B"/>
          </a:solidFill>
          <a:ln>
            <a:noFill/>
          </a:ln>
          <a:effectLst/>
          <a:extLst>
            <a:ext uri="{91240B29-F687-4F45-9708-019B960494DF}">
              <a14:hiddenLine xmlns:a14="http://schemas.microsoft.com/office/drawing/2010/main">
                <a:noFill/>
              </a14:hiddenLine>
            </a:ext>
          </a:extLst>
        </c:spPr>
      </c:pivotFmt>
      <c:pivotFmt>
        <c:idx val="4"/>
        <c:spPr>
          <a:solidFill>
            <a:srgbClr val="C98A1B"/>
          </a:solidFill>
          <a:ln>
            <a:noFill/>
          </a:ln>
          <a:effectLst/>
          <a:extLst>
            <a:ext uri="{91240B29-F687-4F45-9708-019B960494DF}">
              <a14:hiddenLine xmlns:a14="http://schemas.microsoft.com/office/drawing/2010/main">
                <a:noFill/>
              </a14:hiddenLine>
            </a:ext>
          </a:extLst>
        </c:spPr>
      </c:pivotFmt>
      <c:pivotFmt>
        <c:idx val="5"/>
        <c:spPr>
          <a:solidFill>
            <a:srgbClr val="C98A1B"/>
          </a:solidFill>
          <a:ln>
            <a:noFill/>
          </a:ln>
          <a:effectLst/>
          <a:extLst>
            <a:ext uri="{91240B29-F687-4F45-9708-019B960494DF}">
              <a14:hiddenLine xmlns:a14="http://schemas.microsoft.com/office/drawing/2010/main">
                <a:noFill/>
              </a14:hiddenLine>
            </a:ext>
          </a:extLst>
        </c:spPr>
      </c:pivotFmt>
    </c:pivotFmts>
    <c:plotArea>
      <c:layout/>
      <c:barChart>
        <c:barDir val="col"/>
        <c:grouping val="clustered"/>
        <c:varyColors val="0"/>
        <c:ser>
          <c:idx val="0"/>
          <c:order val="0"/>
          <c:tx>
            <c:strRef>
              <c:f>ANALISES!$AO$8</c:f>
              <c:strCache>
                <c:ptCount val="1"/>
                <c:pt idx="0">
                  <c:v>Total</c:v>
                </c:pt>
              </c:strCache>
            </c:strRef>
          </c:tx>
          <c:spPr>
            <a:solidFill>
              <a:srgbClr val="C98A1B"/>
            </a:solidFill>
            <a:ln>
              <a:noFill/>
            </a:ln>
            <a:effectLst/>
            <a:extLst>
              <a:ext uri="{91240B29-F687-4F45-9708-019B960494DF}">
                <a14:hiddenLine xmlns:a14="http://schemas.microsoft.com/office/drawing/2010/main">
                  <a:noFill/>
                </a14:hiddenLine>
              </a:ext>
            </a:extLst>
          </c:spPr>
          <c:invertIfNegative val="0"/>
          <c:dLbls>
            <c:numFmt formatCode="&quot;R$&quot;\ #,##0" sourceLinked="0"/>
            <c:spPr>
              <a:noFill/>
              <a:ln>
                <a:noFill/>
              </a:ln>
              <a:effectLst/>
            </c:spPr>
            <c:txPr>
              <a:bodyPr rot="0" spcFirstLastPara="1" vertOverflow="ellipsis" vert="horz" wrap="square" lIns="38100" tIns="19050" rIns="38100" bIns="19050" anchor="ctr" anchorCtr="1">
                <a:spAutoFit/>
              </a:bodyPr>
              <a:lstStyle/>
              <a:p>
                <a:pPr>
                  <a:defRPr sz="850" b="0" i="0" u="none" strike="noStrike" kern="1200" baseline="0">
                    <a:solidFill>
                      <a:srgbClr val="0F172A"/>
                    </a:solidFill>
                    <a:latin typeface="Segoe UI"/>
                    <a:ea typeface="Segoe UI"/>
                    <a:cs typeface="Segoe UI"/>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ANALISES!$AN$9:$AN$12</c:f>
              <c:strCache>
                <c:ptCount val="3"/>
                <c:pt idx="0">
                  <c:v>ago/26</c:v>
                </c:pt>
                <c:pt idx="1">
                  <c:v>set/26</c:v>
                </c:pt>
                <c:pt idx="2">
                  <c:v>out/26</c:v>
                </c:pt>
              </c:strCache>
            </c:strRef>
          </c:cat>
          <c:val>
            <c:numRef>
              <c:f>ANALISES!$AO$9:$AO$12</c:f>
              <c:numCache>
                <c:formatCode>"R$"\ #,##0.00</c:formatCode>
                <c:ptCount val="3"/>
                <c:pt idx="0">
                  <c:v>3184.6</c:v>
                </c:pt>
                <c:pt idx="1">
                  <c:v>3402.15</c:v>
                </c:pt>
                <c:pt idx="2">
                  <c:v>3261.8</c:v>
                </c:pt>
              </c:numCache>
            </c:numRef>
          </c:val>
          <c:extLst>
            <c:ext xmlns:c16="http://schemas.microsoft.com/office/drawing/2014/chart" uri="{C3380CC4-5D6E-409C-BE32-E72D297353CC}">
              <c16:uniqueId val="{00000000-642A-48BD-A600-84576FF4B6F4}"/>
            </c:ext>
          </c:extLst>
        </c:ser>
        <c:dLbls>
          <c:showLegendKey val="0"/>
          <c:showVal val="0"/>
          <c:showCatName val="0"/>
          <c:showSerName val="0"/>
          <c:showPercent val="0"/>
          <c:showBubbleSize val="0"/>
        </c:dLbls>
        <c:gapWidth val="55"/>
        <c:overlap val="-27"/>
        <c:axId val="826544527"/>
        <c:axId val="826547407"/>
      </c:barChart>
      <c:catAx>
        <c:axId val="826544527"/>
        <c:scaling>
          <c:orientation val="minMax"/>
        </c:scaling>
        <c:delete val="0"/>
        <c:axPos val="b"/>
        <c:numFmt formatCode="General" sourceLinked="1"/>
        <c:majorTickMark val="none"/>
        <c:minorTickMark val="none"/>
        <c:tickLblPos val="nextTo"/>
        <c:spPr>
          <a:noFill/>
          <a:ln w="9525" cap="flat" cmpd="sng" algn="ctr">
            <a:solidFill>
              <a:srgbClr val="E2E8F0"/>
            </a:solidFill>
            <a:round/>
          </a:ln>
          <a:effectLst/>
        </c:spPr>
        <c:txPr>
          <a:bodyPr rot="-60000000" spcFirstLastPara="1" vertOverflow="ellipsis" vert="horz" wrap="square" anchor="ctr" anchorCtr="1"/>
          <a:lstStyle/>
          <a:p>
            <a:pPr>
              <a:defRPr sz="900" b="0" i="0" u="none" strike="noStrike" kern="1200" baseline="0">
                <a:solidFill>
                  <a:srgbClr val="64748B"/>
                </a:solidFill>
                <a:latin typeface="Segoe UI"/>
                <a:ea typeface="Segoe UI"/>
                <a:cs typeface="Segoe UI"/>
              </a:defRPr>
            </a:pPr>
            <a:endParaRPr lang="pt-BR"/>
          </a:p>
        </c:txPr>
        <c:crossAx val="826547407"/>
        <c:crosses val="autoZero"/>
        <c:auto val="1"/>
        <c:lblAlgn val="ctr"/>
        <c:lblOffset val="100"/>
        <c:noMultiLvlLbl val="0"/>
      </c:catAx>
      <c:valAx>
        <c:axId val="826547407"/>
        <c:scaling>
          <c:orientation val="minMax"/>
        </c:scaling>
        <c:delete val="1"/>
        <c:axPos val="l"/>
        <c:numFmt formatCode="&quot;R$&quot;\ #,##0.00" sourceLinked="1"/>
        <c:majorTickMark val="none"/>
        <c:minorTickMark val="none"/>
        <c:tickLblPos val="nextTo"/>
        <c:crossAx val="826544527"/>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rgbClr val="191036"/>
          </a:solidFill>
        </a14:hiddenFill>
      </a:ext>
    </a:extLst>
  </c:spPr>
  <c:txPr>
    <a:bodyPr/>
    <a:lstStyle/>
    <a:p>
      <a:pPr>
        <a:defRPr sz="900">
          <a:solidFill>
            <a:srgbClr val="64748B"/>
          </a:solidFill>
          <a:latin typeface="Segoe UI"/>
          <a:ea typeface="Segoe UI"/>
          <a:cs typeface="Segoe UI"/>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ANALISES!$AA$6</c:f>
              <c:strCache>
                <c:ptCount val="1"/>
                <c:pt idx="0">
                  <c:v>Status Percentual</c:v>
                </c:pt>
              </c:strCache>
            </c:strRef>
          </c:tx>
          <c:spPr>
            <a:solidFill>
              <a:srgbClr val="00B0F0"/>
            </a:solidFill>
            <a:ln w="127000" cap="rnd">
              <a:noFill/>
            </a:ln>
            <a:effectLst/>
          </c:spPr>
          <c:invertIfNegative val="0"/>
          <c:dPt>
            <c:idx val="0"/>
            <c:invertIfNegative val="0"/>
            <c:bubble3D val="0"/>
            <c:spPr>
              <a:solidFill>
                <a:srgbClr val="C98A1B"/>
              </a:solidFill>
              <a:ln w="127000" cap="rnd">
                <a:noFill/>
              </a:ln>
              <a:effectLst/>
            </c:spPr>
            <c:extLst>
              <c:ext xmlns:c16="http://schemas.microsoft.com/office/drawing/2014/chart" uri="{C3380CC4-5D6E-409C-BE32-E72D297353CC}">
                <c16:uniqueId val="{00000002-7C80-474A-91D1-CEF6B0DEF45B}"/>
              </c:ext>
            </c:extLst>
          </c:dPt>
          <c:dPt>
            <c:idx val="1"/>
            <c:invertIfNegative val="0"/>
            <c:bubble3D val="0"/>
            <c:spPr>
              <a:solidFill>
                <a:srgbClr val="2E7D5B"/>
              </a:solidFill>
              <a:ln w="127000" cap="rnd">
                <a:noFill/>
              </a:ln>
              <a:effectLst/>
            </c:spPr>
            <c:extLst>
              <c:ext xmlns:c16="http://schemas.microsoft.com/office/drawing/2014/chart" uri="{C3380CC4-5D6E-409C-BE32-E72D297353CC}">
                <c16:uniqueId val="{00000001-7C80-474A-91D1-CEF6B0DEF45B}"/>
              </c:ext>
            </c:extLst>
          </c:dPt>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39074312324165822"/>
                      <c:h val="9.1164929853464888E-2"/>
                    </c:manualLayout>
                  </c15:layout>
                </c:ext>
                <c:ext xmlns:c16="http://schemas.microsoft.com/office/drawing/2014/chart" uri="{C3380CC4-5D6E-409C-BE32-E72D297353CC}">
                  <c16:uniqueId val="{00000002-7C80-474A-91D1-CEF6B0DEF45B}"/>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41318478502482159"/>
                      <c:h val="7.0446905400179782E-2"/>
                    </c:manualLayout>
                  </c15:layout>
                </c:ext>
                <c:ext xmlns:c16="http://schemas.microsoft.com/office/drawing/2014/chart" uri="{C3380CC4-5D6E-409C-BE32-E72D297353CC}">
                  <c16:uniqueId val="{00000001-7C80-474A-91D1-CEF6B0DEF45B}"/>
                </c:ext>
              </c:extLst>
            </c:dLbl>
            <c:numFmt formatCode="0.0&quot;%&quot;" sourceLinked="0"/>
            <c:spPr>
              <a:noFill/>
              <a:ln>
                <a:noFill/>
              </a:ln>
              <a:effectLst/>
            </c:spPr>
            <c:txPr>
              <a:bodyPr rot="0" spcFirstLastPara="1" vertOverflow="ellipsis" vert="horz" wrap="square" lIns="38100" tIns="19050" rIns="38100" bIns="19050" anchor="ctr" anchorCtr="1">
                <a:spAutoFit/>
              </a:bodyPr>
              <a:lstStyle/>
              <a:p>
                <a:pPr>
                  <a:defRPr sz="950" b="0" i="0" u="none" strike="noStrike" kern="1200" baseline="0">
                    <a:solidFill>
                      <a:srgbClr val="0F172A"/>
                    </a:solidFill>
                    <a:latin typeface="Segoe UI"/>
                    <a:ea typeface="Segoe UI"/>
                    <a:cs typeface="Segoe UI"/>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ANALISES!$AB$5:$AC$5</c:f>
              <c:strCache>
                <c:ptCount val="2"/>
                <c:pt idx="0">
                  <c:v>Previsto</c:v>
                </c:pt>
                <c:pt idx="1">
                  <c:v>Realizado</c:v>
                </c:pt>
              </c:strCache>
            </c:strRef>
          </c:cat>
          <c:val>
            <c:numRef>
              <c:f>ANALISES!$AB$6:$AC$6</c:f>
              <c:numCache>
                <c:formatCode>0.00\ "%"</c:formatCode>
                <c:ptCount val="2"/>
                <c:pt idx="0">
                  <c:v>3.863379161458925</c:v>
                </c:pt>
                <c:pt idx="1">
                  <c:v>96.136620838541077</c:v>
                </c:pt>
              </c:numCache>
            </c:numRef>
          </c:val>
          <c:extLst>
            <c:ext xmlns:c16="http://schemas.microsoft.com/office/drawing/2014/chart" uri="{C3380CC4-5D6E-409C-BE32-E72D297353CC}">
              <c16:uniqueId val="{00000000-7C80-474A-91D1-CEF6B0DEF45B}"/>
            </c:ext>
          </c:extLst>
        </c:ser>
        <c:dLbls>
          <c:dLblPos val="outEnd"/>
          <c:showLegendKey val="0"/>
          <c:showVal val="1"/>
          <c:showCatName val="0"/>
          <c:showSerName val="0"/>
          <c:showPercent val="0"/>
          <c:showBubbleSize val="0"/>
        </c:dLbls>
        <c:gapWidth val="70"/>
        <c:overlap val="10"/>
        <c:axId val="608647087"/>
        <c:axId val="608648575"/>
      </c:barChart>
      <c:catAx>
        <c:axId val="608647087"/>
        <c:scaling>
          <c:orientation val="minMax"/>
        </c:scaling>
        <c:delete val="1"/>
        <c:axPos val="b"/>
        <c:numFmt formatCode="General" sourceLinked="1"/>
        <c:majorTickMark val="none"/>
        <c:minorTickMark val="none"/>
        <c:tickLblPos val="nextTo"/>
        <c:crossAx val="608648575"/>
        <c:crosses val="autoZero"/>
        <c:auto val="1"/>
        <c:lblAlgn val="ctr"/>
        <c:lblOffset val="100"/>
        <c:noMultiLvlLbl val="0"/>
      </c:catAx>
      <c:valAx>
        <c:axId val="608648575"/>
        <c:scaling>
          <c:orientation val="minMax"/>
          <c:max val="115"/>
          <c:min val="0"/>
        </c:scaling>
        <c:delete val="1"/>
        <c:axPos val="l"/>
        <c:numFmt formatCode="0.00\ &quot;%&quot;" sourceLinked="1"/>
        <c:majorTickMark val="none"/>
        <c:minorTickMark val="none"/>
        <c:tickLblPos val="nextTo"/>
        <c:crossAx val="608647087"/>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showDLblsOverMax val="0"/>
  </c:chart>
  <c:spPr>
    <a:noFill/>
    <a:ln w="9525" cap="flat" cmpd="sng" algn="ctr">
      <a:noFill/>
      <a:round/>
    </a:ln>
    <a:effectLst/>
  </c:spPr>
  <c:txPr>
    <a:bodyPr/>
    <a:lstStyle/>
    <a:p>
      <a:pPr>
        <a:defRPr sz="900">
          <a:solidFill>
            <a:srgbClr val="64748B"/>
          </a:solidFill>
          <a:latin typeface="Segoe UI"/>
          <a:ea typeface="Segoe UI"/>
          <a:cs typeface="Segoe UI"/>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08297812133158"/>
          <c:y val="0.10575423797618032"/>
          <c:w val="0.84293817462950282"/>
          <c:h val="0.77496414140257597"/>
        </c:manualLayout>
      </c:layout>
      <c:barChart>
        <c:barDir val="col"/>
        <c:grouping val="clustered"/>
        <c:varyColors val="0"/>
        <c:ser>
          <c:idx val="0"/>
          <c:order val="0"/>
          <c:tx>
            <c:strRef>
              <c:f>ANALISES!$AX$6</c:f>
              <c:strCache>
                <c:ptCount val="1"/>
                <c:pt idx="0">
                  <c:v>Total</c:v>
                </c:pt>
              </c:strCache>
            </c:strRef>
          </c:tx>
          <c:spPr>
            <a:solidFill>
              <a:srgbClr val="6B7A99"/>
            </a:solidFill>
            <a:ln>
              <a:noFill/>
            </a:ln>
            <a:effectLst/>
            <a:extLst>
              <a:ext uri="{91240B29-F687-4F45-9708-019B960494DF}">
                <a14:hiddenLine xmlns:a14="http://schemas.microsoft.com/office/drawing/2010/main">
                  <a:noFill/>
                </a14:hiddenLine>
              </a:ext>
            </a:extLst>
          </c:spPr>
          <c:invertIfNegative val="0"/>
          <c:dLbls>
            <c:numFmt formatCode="&quot;R$&quot;\ 0.0,&quot;k&quot;" sourceLinked="0"/>
            <c:spPr>
              <a:noFill/>
              <a:ln>
                <a:noFill/>
              </a:ln>
              <a:effectLst/>
            </c:spPr>
            <c:txPr>
              <a:bodyPr rot="0" spcFirstLastPara="1" vertOverflow="ellipsis" vert="horz" wrap="square" lIns="38100" tIns="19050" rIns="38100" bIns="19050" anchor="ctr" anchorCtr="1">
                <a:spAutoFit/>
              </a:bodyPr>
              <a:lstStyle/>
              <a:p>
                <a:pPr>
                  <a:defRPr sz="850" b="0" i="0" u="none" strike="noStrike" kern="1200" baseline="0">
                    <a:solidFill>
                      <a:srgbClr val="0F172A"/>
                    </a:solidFill>
                    <a:latin typeface="Segoe UI"/>
                    <a:ea typeface="Segoe UI"/>
                    <a:cs typeface="Segoe UI"/>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ANALISES!$AW$7:$AW$9</c:f>
              <c:strCache>
                <c:ptCount val="3"/>
                <c:pt idx="0">
                  <c:v>Ago/26</c:v>
                </c:pt>
                <c:pt idx="1">
                  <c:v>Set/26</c:v>
                </c:pt>
                <c:pt idx="2">
                  <c:v>Out/26</c:v>
                </c:pt>
              </c:strCache>
            </c:strRef>
          </c:cat>
          <c:val>
            <c:numRef>
              <c:f>ANALISES!$AX$7:$AX$9</c:f>
              <c:numCache>
                <c:formatCode>"R$"\ #,##0.00</c:formatCode>
                <c:ptCount val="3"/>
                <c:pt idx="0">
                  <c:v>55750</c:v>
                </c:pt>
                <c:pt idx="1">
                  <c:v>54657</c:v>
                </c:pt>
                <c:pt idx="2">
                  <c:v>53549</c:v>
                </c:pt>
              </c:numCache>
            </c:numRef>
          </c:val>
          <c:extLst>
            <c:ext xmlns:c16="http://schemas.microsoft.com/office/drawing/2014/chart" uri="{C3380CC4-5D6E-409C-BE32-E72D297353CC}">
              <c16:uniqueId val="{00000000-FFFA-4066-96F0-2A949B0526C9}"/>
            </c:ext>
          </c:extLst>
        </c:ser>
        <c:dLbls>
          <c:showLegendKey val="0"/>
          <c:showVal val="0"/>
          <c:showCatName val="0"/>
          <c:showSerName val="0"/>
          <c:showPercent val="0"/>
          <c:showBubbleSize val="0"/>
        </c:dLbls>
        <c:gapWidth val="55"/>
        <c:overlap val="-27"/>
        <c:axId val="649442608"/>
        <c:axId val="649443088"/>
      </c:barChart>
      <c:catAx>
        <c:axId val="649442608"/>
        <c:scaling>
          <c:orientation val="minMax"/>
        </c:scaling>
        <c:delete val="0"/>
        <c:axPos val="b"/>
        <c:numFmt formatCode="General" sourceLinked="1"/>
        <c:majorTickMark val="none"/>
        <c:minorTickMark val="none"/>
        <c:tickLblPos val="nextTo"/>
        <c:spPr>
          <a:noFill/>
          <a:ln w="9525" cap="flat" cmpd="sng" algn="ctr">
            <a:solidFill>
              <a:srgbClr val="E2E8F0"/>
            </a:solidFill>
            <a:round/>
          </a:ln>
          <a:effectLst/>
        </c:spPr>
        <c:txPr>
          <a:bodyPr rot="-60000000" spcFirstLastPara="1" vertOverflow="ellipsis" vert="horz" wrap="square" anchor="ctr" anchorCtr="1"/>
          <a:lstStyle/>
          <a:p>
            <a:pPr>
              <a:defRPr sz="900" b="0" i="0" u="none" strike="noStrike" kern="1200" baseline="0">
                <a:solidFill>
                  <a:srgbClr val="64748B"/>
                </a:solidFill>
                <a:latin typeface="Segoe UI"/>
                <a:ea typeface="Segoe UI"/>
                <a:cs typeface="Segoe UI"/>
              </a:defRPr>
            </a:pPr>
            <a:endParaRPr lang="pt-BR"/>
          </a:p>
        </c:txPr>
        <c:crossAx val="649443088"/>
        <c:crosses val="autoZero"/>
        <c:auto val="1"/>
        <c:lblAlgn val="ctr"/>
        <c:lblOffset val="100"/>
        <c:noMultiLvlLbl val="1"/>
      </c:catAx>
      <c:valAx>
        <c:axId val="649443088"/>
        <c:scaling>
          <c:orientation val="minMax"/>
          <c:min val="0"/>
        </c:scaling>
        <c:delete val="1"/>
        <c:axPos val="l"/>
        <c:numFmt formatCode="&quot;R$&quot;\ #,##0.00" sourceLinked="1"/>
        <c:majorTickMark val="none"/>
        <c:minorTickMark val="none"/>
        <c:tickLblPos val="nextTo"/>
        <c:crossAx val="649442608"/>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showDLblsOverMax val="0"/>
  </c:chart>
  <c:spPr>
    <a:noFill/>
    <a:ln w="9525" cap="flat" cmpd="sng" algn="ctr">
      <a:noFill/>
      <a:round/>
    </a:ln>
    <a:effectLst/>
    <a:extLst>
      <a:ext uri="{909E8E84-426E-40DD-AFC4-6F175D3DCCD1}">
        <a14:hiddenFill xmlns:a14="http://schemas.microsoft.com/office/drawing/2010/main">
          <a:solidFill>
            <a:srgbClr val="191036"/>
          </a:solidFill>
        </a14:hiddenFill>
      </a:ext>
    </a:extLst>
  </c:spPr>
  <c:txPr>
    <a:bodyPr/>
    <a:lstStyle/>
    <a:p>
      <a:pPr>
        <a:defRPr sz="900">
          <a:solidFill>
            <a:srgbClr val="64748B"/>
          </a:solidFill>
          <a:latin typeface="Segoe UI"/>
          <a:ea typeface="Segoe UI"/>
          <a:cs typeface="Segoe UI"/>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hyperlink" Target="#'EMPRESTIMOS'!A1"/><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hyperlink" Target="https://gillemosai.com" TargetMode="External"/><Relationship Id="rId4" Type="http://schemas.openxmlformats.org/officeDocument/2006/relationships/chart" Target="../charts/chart3.xml"/><Relationship Id="rId9" Type="http://schemas.openxmlformats.org/officeDocument/2006/relationships/hyperlink" Target="#'LANCAMENTOS'!A1"/></Relationships>
</file>

<file path=xl/drawings/_rels/drawing2.xml.rels><?xml version="1.0" encoding="UTF-8" standalone="yes"?>
<Relationships xmlns="http://schemas.openxmlformats.org/package/2006/relationships"><Relationship Id="rId2" Type="http://schemas.openxmlformats.org/officeDocument/2006/relationships/hyperlink" Target="#'EMPRESTIMOS'!A1"/><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2" Type="http://schemas.openxmlformats.org/officeDocument/2006/relationships/hyperlink" Target="#'LANCAMENTOS'!A1"/><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image" Target="../media/image5.svg"/></Relationships>
</file>

<file path=xl/drawings/drawing1.xml><?xml version="1.0" encoding="utf-8"?>
<xdr:wsDr xmlns:xdr="http://schemas.openxmlformats.org/drawingml/2006/spreadsheetDrawing" xmlns:a="http://schemas.openxmlformats.org/drawingml/2006/main">
  <xdr:twoCellAnchor editAs="absolute">
    <xdr:from>
      <xdr:col>0</xdr:col>
      <xdr:colOff>254000</xdr:colOff>
      <xdr:row>15</xdr:row>
      <xdr:rowOff>12700</xdr:rowOff>
    </xdr:from>
    <xdr:to>
      <xdr:col>7</xdr:col>
      <xdr:colOff>111125</xdr:colOff>
      <xdr:row>33</xdr:row>
      <xdr:rowOff>38100</xdr:rowOff>
    </xdr:to>
    <xdr:sp macro="" textlink="">
      <xdr:nvSpPr>
        <xdr:cNvPr id="1030" name="P_Receitas">
          <a:extLst>
            <a:ext uri="{FF2B5EF4-FFF2-40B4-BE49-F238E27FC236}">
              <a16:creationId xmlns:a16="http://schemas.microsoft.com/office/drawing/2014/main" id="{4E828AE2-DE61-D8DD-99AE-9576F4213850}"/>
            </a:ext>
          </a:extLst>
        </xdr:cNvPr>
        <xdr:cNvSpPr/>
      </xdr:nvSpPr>
      <xdr:spPr>
        <a:xfrm>
          <a:off x="254000" y="2870200"/>
          <a:ext cx="4191000" cy="3454400"/>
        </a:xfrm>
        <a:prstGeom prst="roundRect">
          <a:avLst>
            <a:gd name="adj" fmla="val 2500"/>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27000" rIns="0" bIns="0" rtlCol="0" anchor="t"/>
        <a:lstStyle/>
        <a:p>
          <a:pPr algn="l"/>
          <a:r>
            <a:rPr lang="pt-BR" sz="1100" b="1">
              <a:solidFill>
                <a:srgbClr val="0F172A"/>
              </a:solidFill>
              <a:latin typeface="Segoe UI Semibold" panose="020B0702040204020203" pitchFamily="34" charset="0"/>
            </a:rPr>
            <a:t>Distribuição de Receitas</a:t>
          </a:r>
        </a:p>
      </xdr:txBody>
    </xdr:sp>
    <xdr:clientData/>
  </xdr:twoCellAnchor>
  <xdr:twoCellAnchor editAs="absolute">
    <xdr:from>
      <xdr:col>7</xdr:col>
      <xdr:colOff>288925</xdr:colOff>
      <xdr:row>15</xdr:row>
      <xdr:rowOff>12700</xdr:rowOff>
    </xdr:from>
    <xdr:to>
      <xdr:col>17</xdr:col>
      <xdr:colOff>66675</xdr:colOff>
      <xdr:row>33</xdr:row>
      <xdr:rowOff>38100</xdr:rowOff>
    </xdr:to>
    <xdr:sp macro="" textlink="">
      <xdr:nvSpPr>
        <xdr:cNvPr id="1035" name="P_DespPct">
          <a:extLst>
            <a:ext uri="{FF2B5EF4-FFF2-40B4-BE49-F238E27FC236}">
              <a16:creationId xmlns:a16="http://schemas.microsoft.com/office/drawing/2014/main" id="{D0647889-5543-B2D2-066E-497B1DFD515A}"/>
            </a:ext>
          </a:extLst>
        </xdr:cNvPr>
        <xdr:cNvSpPr/>
      </xdr:nvSpPr>
      <xdr:spPr>
        <a:xfrm>
          <a:off x="4622800" y="2870200"/>
          <a:ext cx="5969000" cy="3454400"/>
        </a:xfrm>
        <a:prstGeom prst="roundRect">
          <a:avLst>
            <a:gd name="adj" fmla="val 2500"/>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27000" rIns="0" bIns="0" rtlCol="0" anchor="t"/>
        <a:lstStyle/>
        <a:p>
          <a:pPr algn="l"/>
          <a:r>
            <a:rPr lang="pt-BR" sz="1100" b="1">
              <a:solidFill>
                <a:srgbClr val="0F172A"/>
              </a:solidFill>
              <a:latin typeface="Segoe UI Semibold" panose="020B0702040204020203" pitchFamily="34" charset="0"/>
            </a:rPr>
            <a:t>Distribuição de Despesas (%)</a:t>
          </a:r>
        </a:p>
      </xdr:txBody>
    </xdr:sp>
    <xdr:clientData/>
  </xdr:twoCellAnchor>
  <xdr:twoCellAnchor editAs="absolute">
    <xdr:from>
      <xdr:col>17</xdr:col>
      <xdr:colOff>244475</xdr:colOff>
      <xdr:row>15</xdr:row>
      <xdr:rowOff>12700</xdr:rowOff>
    </xdr:from>
    <xdr:to>
      <xdr:col>24</xdr:col>
      <xdr:colOff>381000</xdr:colOff>
      <xdr:row>33</xdr:row>
      <xdr:rowOff>38100</xdr:rowOff>
    </xdr:to>
    <xdr:sp macro="" textlink="">
      <xdr:nvSpPr>
        <xdr:cNvPr id="1036" name="P_Principais">
          <a:extLst>
            <a:ext uri="{FF2B5EF4-FFF2-40B4-BE49-F238E27FC236}">
              <a16:creationId xmlns:a16="http://schemas.microsoft.com/office/drawing/2014/main" id="{962AAF69-69FA-5B11-138B-64EB2A428072}"/>
            </a:ext>
          </a:extLst>
        </xdr:cNvPr>
        <xdr:cNvSpPr/>
      </xdr:nvSpPr>
      <xdr:spPr>
        <a:xfrm>
          <a:off x="10769600" y="2870200"/>
          <a:ext cx="4470400" cy="3454400"/>
        </a:xfrm>
        <a:prstGeom prst="roundRect">
          <a:avLst>
            <a:gd name="adj" fmla="val 2500"/>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27000" rIns="0" bIns="0" rtlCol="0" anchor="t"/>
        <a:lstStyle/>
        <a:p>
          <a:pPr algn="l"/>
          <a:r>
            <a:rPr lang="pt-BR" sz="1100" b="1">
              <a:solidFill>
                <a:srgbClr val="0F172A"/>
              </a:solidFill>
              <a:latin typeface="Segoe UI Semibold" panose="020B0702040204020203" pitchFamily="34" charset="0"/>
            </a:rPr>
            <a:t>Principais Despesas (R$)</a:t>
          </a:r>
        </a:p>
      </xdr:txBody>
    </xdr:sp>
    <xdr:clientData/>
  </xdr:twoCellAnchor>
  <xdr:twoCellAnchor editAs="absolute">
    <xdr:from>
      <xdr:col>0</xdr:col>
      <xdr:colOff>253999</xdr:colOff>
      <xdr:row>34</xdr:row>
      <xdr:rowOff>25400</xdr:rowOff>
    </xdr:from>
    <xdr:to>
      <xdr:col>6</xdr:col>
      <xdr:colOff>349249</xdr:colOff>
      <xdr:row>49</xdr:row>
      <xdr:rowOff>88900</xdr:rowOff>
    </xdr:to>
    <xdr:sp macro="" textlink="">
      <xdr:nvSpPr>
        <xdr:cNvPr id="1037" name="P_Invest">
          <a:extLst>
            <a:ext uri="{FF2B5EF4-FFF2-40B4-BE49-F238E27FC236}">
              <a16:creationId xmlns:a16="http://schemas.microsoft.com/office/drawing/2014/main" id="{FB8FEB87-C81D-E2D0-6BF9-E4869762CDBB}"/>
            </a:ext>
          </a:extLst>
        </xdr:cNvPr>
        <xdr:cNvSpPr/>
      </xdr:nvSpPr>
      <xdr:spPr>
        <a:xfrm>
          <a:off x="253999" y="6502400"/>
          <a:ext cx="3810000" cy="2921000"/>
        </a:xfrm>
        <a:prstGeom prst="roundRect">
          <a:avLst>
            <a:gd name="adj" fmla="val 2500"/>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27000" rIns="0" bIns="0" rtlCol="0" anchor="t"/>
        <a:lstStyle/>
        <a:p>
          <a:pPr algn="l"/>
          <a:r>
            <a:rPr lang="pt-BR" sz="1100" b="1">
              <a:solidFill>
                <a:srgbClr val="0F172A"/>
              </a:solidFill>
              <a:latin typeface="Segoe UI Semibold" panose="020B0702040204020203" pitchFamily="34" charset="0"/>
            </a:rPr>
            <a:t>Investimentos (aportes)</a:t>
          </a:r>
        </a:p>
      </xdr:txBody>
    </xdr:sp>
    <xdr:clientData/>
  </xdr:twoCellAnchor>
  <xdr:twoCellAnchor editAs="absolute">
    <xdr:from>
      <xdr:col>6</xdr:col>
      <xdr:colOff>527049</xdr:colOff>
      <xdr:row>34</xdr:row>
      <xdr:rowOff>25400</xdr:rowOff>
    </xdr:from>
    <xdr:to>
      <xdr:col>11</xdr:col>
      <xdr:colOff>606424</xdr:colOff>
      <xdr:row>49</xdr:row>
      <xdr:rowOff>88900</xdr:rowOff>
    </xdr:to>
    <xdr:sp macro="" textlink="">
      <xdr:nvSpPr>
        <xdr:cNvPr id="1038" name="P_Cartao">
          <a:extLst>
            <a:ext uri="{FF2B5EF4-FFF2-40B4-BE49-F238E27FC236}">
              <a16:creationId xmlns:a16="http://schemas.microsoft.com/office/drawing/2014/main" id="{96939B2D-1824-3056-E86F-6DC340C287C2}"/>
            </a:ext>
          </a:extLst>
        </xdr:cNvPr>
        <xdr:cNvSpPr/>
      </xdr:nvSpPr>
      <xdr:spPr>
        <a:xfrm>
          <a:off x="4241799" y="6502400"/>
          <a:ext cx="3175000" cy="2921000"/>
        </a:xfrm>
        <a:prstGeom prst="roundRect">
          <a:avLst>
            <a:gd name="adj" fmla="val 2500"/>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27000" rIns="0" bIns="0" rtlCol="0" anchor="t"/>
        <a:lstStyle/>
        <a:p>
          <a:pPr algn="l"/>
          <a:r>
            <a:rPr lang="pt-BR" sz="1100" b="1">
              <a:solidFill>
                <a:srgbClr val="0F172A"/>
              </a:solidFill>
              <a:latin typeface="Segoe UI Semibold" panose="020B0702040204020203" pitchFamily="34" charset="0"/>
            </a:rPr>
            <a:t>Cartão de Crédito</a:t>
          </a:r>
        </a:p>
      </xdr:txBody>
    </xdr:sp>
    <xdr:clientData/>
  </xdr:twoCellAnchor>
  <xdr:twoCellAnchor editAs="absolute">
    <xdr:from>
      <xdr:col>12</xdr:col>
      <xdr:colOff>165099</xdr:colOff>
      <xdr:row>34</xdr:row>
      <xdr:rowOff>25400</xdr:rowOff>
    </xdr:from>
    <xdr:to>
      <xdr:col>15</xdr:col>
      <xdr:colOff>466724</xdr:colOff>
      <xdr:row>49</xdr:row>
      <xdr:rowOff>88900</xdr:rowOff>
    </xdr:to>
    <xdr:sp macro="" textlink="">
      <xdr:nvSpPr>
        <xdr:cNvPr id="1039" name="P_Status">
          <a:extLst>
            <a:ext uri="{FF2B5EF4-FFF2-40B4-BE49-F238E27FC236}">
              <a16:creationId xmlns:a16="http://schemas.microsoft.com/office/drawing/2014/main" id="{6DCB4176-20C6-C360-DDF8-149822CB27EF}"/>
            </a:ext>
          </a:extLst>
        </xdr:cNvPr>
        <xdr:cNvSpPr/>
      </xdr:nvSpPr>
      <xdr:spPr>
        <a:xfrm>
          <a:off x="7594599" y="6502400"/>
          <a:ext cx="2159000" cy="2921000"/>
        </a:xfrm>
        <a:prstGeom prst="roundRect">
          <a:avLst>
            <a:gd name="adj" fmla="val 2500"/>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27000" rIns="0" bIns="0" rtlCol="0" anchor="t"/>
        <a:lstStyle/>
        <a:p>
          <a:pPr algn="l"/>
          <a:r>
            <a:rPr lang="pt-BR" sz="1100" b="1">
              <a:solidFill>
                <a:srgbClr val="0F172A"/>
              </a:solidFill>
              <a:latin typeface="Segoe UI Semibold" panose="020B0702040204020203" pitchFamily="34" charset="0"/>
            </a:rPr>
            <a:t>Status de Pagamento</a:t>
          </a:r>
        </a:p>
      </xdr:txBody>
    </xdr:sp>
    <xdr:clientData/>
  </xdr:twoCellAnchor>
  <xdr:twoCellAnchor editAs="absolute">
    <xdr:from>
      <xdr:col>16</xdr:col>
      <xdr:colOff>25399</xdr:colOff>
      <xdr:row>34</xdr:row>
      <xdr:rowOff>25400</xdr:rowOff>
    </xdr:from>
    <xdr:to>
      <xdr:col>20</xdr:col>
      <xdr:colOff>88899</xdr:colOff>
      <xdr:row>49</xdr:row>
      <xdr:rowOff>88900</xdr:rowOff>
    </xdr:to>
    <xdr:sp macro="" textlink="">
      <xdr:nvSpPr>
        <xdr:cNvPr id="1040" name="P_Emprest">
          <a:hlinkClick xmlns:r="http://schemas.openxmlformats.org/officeDocument/2006/relationships" r:id="rId1" tooltip="Ir para Empréstimos"/>
          <a:extLst>
            <a:ext uri="{FF2B5EF4-FFF2-40B4-BE49-F238E27FC236}">
              <a16:creationId xmlns:a16="http://schemas.microsoft.com/office/drawing/2014/main" id="{2B356882-1CC4-03C0-D687-7FEADAE45DD6}"/>
            </a:ext>
          </a:extLst>
        </xdr:cNvPr>
        <xdr:cNvSpPr/>
      </xdr:nvSpPr>
      <xdr:spPr>
        <a:xfrm>
          <a:off x="9931399" y="6502400"/>
          <a:ext cx="2540000" cy="2921000"/>
        </a:xfrm>
        <a:prstGeom prst="roundRect">
          <a:avLst>
            <a:gd name="adj" fmla="val 2500"/>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27000" rIns="0" bIns="0" rtlCol="0" anchor="t"/>
        <a:lstStyle/>
        <a:p>
          <a:pPr algn="l"/>
          <a:r>
            <a:rPr lang="pt-BR" sz="1100" b="1">
              <a:solidFill>
                <a:srgbClr val="0F172A"/>
              </a:solidFill>
              <a:latin typeface="Segoe UI Semibold" panose="020B0702040204020203" pitchFamily="34" charset="0"/>
            </a:rPr>
            <a:t>Empréstimos</a:t>
          </a:r>
        </a:p>
      </xdr:txBody>
    </xdr:sp>
    <xdr:clientData fLocksWithSheet="0"/>
  </xdr:twoCellAnchor>
  <xdr:twoCellAnchor editAs="absolute">
    <xdr:from>
      <xdr:col>20</xdr:col>
      <xdr:colOff>266700</xdr:colOff>
      <xdr:row>34</xdr:row>
      <xdr:rowOff>25400</xdr:rowOff>
    </xdr:from>
    <xdr:to>
      <xdr:col>24</xdr:col>
      <xdr:colOff>381000</xdr:colOff>
      <xdr:row>49</xdr:row>
      <xdr:rowOff>88900</xdr:rowOff>
    </xdr:to>
    <xdr:sp macro="" textlink="">
      <xdr:nvSpPr>
        <xdr:cNvPr id="1041" name="P_Evolucao">
          <a:extLst>
            <a:ext uri="{FF2B5EF4-FFF2-40B4-BE49-F238E27FC236}">
              <a16:creationId xmlns:a16="http://schemas.microsoft.com/office/drawing/2014/main" id="{430DF7CA-41FD-A040-52EB-BCECE3AC8C76}"/>
            </a:ext>
          </a:extLst>
        </xdr:cNvPr>
        <xdr:cNvSpPr/>
      </xdr:nvSpPr>
      <xdr:spPr>
        <a:xfrm>
          <a:off x="12649200" y="6502400"/>
          <a:ext cx="2590800" cy="2921000"/>
        </a:xfrm>
        <a:prstGeom prst="roundRect">
          <a:avLst>
            <a:gd name="adj" fmla="val 2500"/>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27000" rIns="0" bIns="0" rtlCol="0" anchor="t"/>
        <a:lstStyle/>
        <a:p>
          <a:pPr algn="l"/>
          <a:r>
            <a:rPr lang="pt-BR" sz="1100" b="1">
              <a:solidFill>
                <a:srgbClr val="0F172A"/>
              </a:solidFill>
              <a:latin typeface="Segoe UI Semibold" panose="020B0702040204020203" pitchFamily="34" charset="0"/>
            </a:rPr>
            <a:t>Saldo Devedor</a:t>
          </a:r>
        </a:p>
      </xdr:txBody>
    </xdr:sp>
    <xdr:clientData/>
  </xdr:twoCellAnchor>
  <xdr:twoCellAnchor editAs="absolute">
    <xdr:from>
      <xdr:col>0</xdr:col>
      <xdr:colOff>254000</xdr:colOff>
      <xdr:row>8</xdr:row>
      <xdr:rowOff>127000</xdr:rowOff>
    </xdr:from>
    <xdr:to>
      <xdr:col>5</xdr:col>
      <xdr:colOff>10160</xdr:colOff>
      <xdr:row>14</xdr:row>
      <xdr:rowOff>0</xdr:rowOff>
    </xdr:to>
    <xdr:sp macro="" textlink="">
      <xdr:nvSpPr>
        <xdr:cNvPr id="1042" name="K_card0">
          <a:extLst>
            <a:ext uri="{FF2B5EF4-FFF2-40B4-BE49-F238E27FC236}">
              <a16:creationId xmlns:a16="http://schemas.microsoft.com/office/drawing/2014/main" id="{54A12EBC-3135-56DB-79CC-F30C793AC013}"/>
            </a:ext>
          </a:extLst>
        </xdr:cNvPr>
        <xdr:cNvSpPr/>
      </xdr:nvSpPr>
      <xdr:spPr>
        <a:xfrm>
          <a:off x="254000" y="1651000"/>
          <a:ext cx="2851785" cy="1016000"/>
        </a:xfrm>
        <a:prstGeom prst="roundRect">
          <a:avLst>
            <a:gd name="adj" fmla="val 6000"/>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0</xdr:col>
      <xdr:colOff>254000</xdr:colOff>
      <xdr:row>8</xdr:row>
      <xdr:rowOff>127000</xdr:rowOff>
    </xdr:from>
    <xdr:to>
      <xdr:col>0</xdr:col>
      <xdr:colOff>317500</xdr:colOff>
      <xdr:row>14</xdr:row>
      <xdr:rowOff>0</xdr:rowOff>
    </xdr:to>
    <xdr:sp macro="" textlink="">
      <xdr:nvSpPr>
        <xdr:cNvPr id="1043" name="K_bar0">
          <a:extLst>
            <a:ext uri="{FF2B5EF4-FFF2-40B4-BE49-F238E27FC236}">
              <a16:creationId xmlns:a16="http://schemas.microsoft.com/office/drawing/2014/main" id="{AB96C1FE-F4B9-366C-772C-0FA9CC4BD082}"/>
            </a:ext>
          </a:extLst>
        </xdr:cNvPr>
        <xdr:cNvSpPr/>
      </xdr:nvSpPr>
      <xdr:spPr>
        <a:xfrm>
          <a:off x="254000" y="1651000"/>
          <a:ext cx="63500" cy="1016000"/>
        </a:xfrm>
        <a:prstGeom prst="rect">
          <a:avLst/>
        </a:prstGeom>
        <a:solidFill>
          <a:srgbClr val="2E7D5B"/>
        </a:solidFill>
        <a:ln w="19050" cap="rnd" cmpd="sng" algn="ctr">
          <a:noFill/>
          <a:prstDash val="solid"/>
        </a:ln>
        <a:effectLst/>
        <a:extLst>
          <a:ext uri="{91240B29-F687-4F45-9708-019B960494DF}">
            <a14:hiddenLine xmlns:a14="http://schemas.microsoft.com/office/drawing/2010/main" w="19050" cap="rnd"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0</xdr:col>
      <xdr:colOff>482600</xdr:colOff>
      <xdr:row>9</xdr:row>
      <xdr:rowOff>63500</xdr:rowOff>
    </xdr:from>
    <xdr:to>
      <xdr:col>4</xdr:col>
      <xdr:colOff>476885</xdr:colOff>
      <xdr:row>10</xdr:row>
      <xdr:rowOff>76200</xdr:rowOff>
    </xdr:to>
    <xdr:sp macro="" textlink="">
      <xdr:nvSpPr>
        <xdr:cNvPr id="1044" name="K_lbl0">
          <a:extLst>
            <a:ext uri="{FF2B5EF4-FFF2-40B4-BE49-F238E27FC236}">
              <a16:creationId xmlns:a16="http://schemas.microsoft.com/office/drawing/2014/main" id="{EB8C7F33-990C-CF7D-199F-2F6A4968137B}"/>
            </a:ext>
          </a:extLst>
        </xdr:cNvPr>
        <xdr:cNvSpPr txBox="1"/>
      </xdr:nvSpPr>
      <xdr:spPr>
        <a:xfrm>
          <a:off x="482600" y="1778000"/>
          <a:ext cx="2470785"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l"/>
          <a:r>
            <a:rPr lang="pt-BR" sz="850" b="1">
              <a:solidFill>
                <a:srgbClr val="64748B"/>
              </a:solidFill>
              <a:latin typeface="Segoe UI" panose="020B0502040204020203" pitchFamily="34" charset="0"/>
            </a:rPr>
            <a:t>TOTAL DE RECEITAS</a:t>
          </a:r>
        </a:p>
      </xdr:txBody>
    </xdr:sp>
    <xdr:clientData/>
  </xdr:twoCellAnchor>
  <xdr:twoCellAnchor editAs="absolute">
    <xdr:from>
      <xdr:col>0</xdr:col>
      <xdr:colOff>482600</xdr:colOff>
      <xdr:row>12</xdr:row>
      <xdr:rowOff>101600</xdr:rowOff>
    </xdr:from>
    <xdr:to>
      <xdr:col>4</xdr:col>
      <xdr:colOff>476885</xdr:colOff>
      <xdr:row>13</xdr:row>
      <xdr:rowOff>88900</xdr:rowOff>
    </xdr:to>
    <xdr:sp macro="" textlink="">
      <xdr:nvSpPr>
        <xdr:cNvPr id="1045" name="K_sub0">
          <a:extLst>
            <a:ext uri="{FF2B5EF4-FFF2-40B4-BE49-F238E27FC236}">
              <a16:creationId xmlns:a16="http://schemas.microsoft.com/office/drawing/2014/main" id="{C9586C13-F78C-5305-E8F9-CD48E030052C}"/>
            </a:ext>
          </a:extLst>
        </xdr:cNvPr>
        <xdr:cNvSpPr txBox="1"/>
      </xdr:nvSpPr>
      <xdr:spPr>
        <a:xfrm>
          <a:off x="482600" y="2387600"/>
          <a:ext cx="2470785"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l"/>
          <a:r>
            <a:rPr lang="pt-BR" sz="850" b="0">
              <a:solidFill>
                <a:srgbClr val="64748B"/>
              </a:solidFill>
              <a:latin typeface="Segoe UI" panose="020B0502040204020203" pitchFamily="34" charset="0"/>
            </a:rPr>
            <a:t>Entradas no período</a:t>
          </a:r>
        </a:p>
      </xdr:txBody>
    </xdr:sp>
    <xdr:clientData/>
  </xdr:twoCellAnchor>
  <xdr:twoCellAnchor editAs="absolute">
    <xdr:from>
      <xdr:col>5</xdr:col>
      <xdr:colOff>187960</xdr:colOff>
      <xdr:row>8</xdr:row>
      <xdr:rowOff>127000</xdr:rowOff>
    </xdr:from>
    <xdr:to>
      <xdr:col>9</xdr:col>
      <xdr:colOff>563245</xdr:colOff>
      <xdr:row>14</xdr:row>
      <xdr:rowOff>0</xdr:rowOff>
    </xdr:to>
    <xdr:sp macro="" textlink="">
      <xdr:nvSpPr>
        <xdr:cNvPr id="1046" name="K_card1">
          <a:extLst>
            <a:ext uri="{FF2B5EF4-FFF2-40B4-BE49-F238E27FC236}">
              <a16:creationId xmlns:a16="http://schemas.microsoft.com/office/drawing/2014/main" id="{E78B8EB4-4589-7803-E687-42DC90AFE381}"/>
            </a:ext>
          </a:extLst>
        </xdr:cNvPr>
        <xdr:cNvSpPr/>
      </xdr:nvSpPr>
      <xdr:spPr>
        <a:xfrm>
          <a:off x="3283585" y="1651000"/>
          <a:ext cx="2851785" cy="1016000"/>
        </a:xfrm>
        <a:prstGeom prst="roundRect">
          <a:avLst>
            <a:gd name="adj" fmla="val 6000"/>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187960</xdr:colOff>
      <xdr:row>8</xdr:row>
      <xdr:rowOff>127000</xdr:rowOff>
    </xdr:from>
    <xdr:to>
      <xdr:col>5</xdr:col>
      <xdr:colOff>251460</xdr:colOff>
      <xdr:row>14</xdr:row>
      <xdr:rowOff>0</xdr:rowOff>
    </xdr:to>
    <xdr:sp macro="" textlink="">
      <xdr:nvSpPr>
        <xdr:cNvPr id="1047" name="K_bar1">
          <a:extLst>
            <a:ext uri="{FF2B5EF4-FFF2-40B4-BE49-F238E27FC236}">
              <a16:creationId xmlns:a16="http://schemas.microsoft.com/office/drawing/2014/main" id="{FC78EDC4-7D09-D37A-5FCD-3BF42185EB92}"/>
            </a:ext>
          </a:extLst>
        </xdr:cNvPr>
        <xdr:cNvSpPr/>
      </xdr:nvSpPr>
      <xdr:spPr>
        <a:xfrm>
          <a:off x="3283585" y="1651000"/>
          <a:ext cx="63500" cy="1016000"/>
        </a:xfrm>
        <a:prstGeom prst="rect">
          <a:avLst/>
        </a:prstGeom>
        <a:solidFill>
          <a:srgbClr val="B4443A"/>
        </a:solidFill>
        <a:ln w="19050" cap="rnd" cmpd="sng" algn="ctr">
          <a:noFill/>
          <a:prstDash val="solid"/>
        </a:ln>
        <a:effectLst/>
        <a:extLst>
          <a:ext uri="{91240B29-F687-4F45-9708-019B960494DF}">
            <a14:hiddenLine xmlns:a14="http://schemas.microsoft.com/office/drawing/2010/main" w="19050" cap="rnd"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416560</xdr:colOff>
      <xdr:row>9</xdr:row>
      <xdr:rowOff>63500</xdr:rowOff>
    </xdr:from>
    <xdr:to>
      <xdr:col>9</xdr:col>
      <xdr:colOff>410845</xdr:colOff>
      <xdr:row>10</xdr:row>
      <xdr:rowOff>76200</xdr:rowOff>
    </xdr:to>
    <xdr:sp macro="" textlink="">
      <xdr:nvSpPr>
        <xdr:cNvPr id="1048" name="K_lbl1">
          <a:extLst>
            <a:ext uri="{FF2B5EF4-FFF2-40B4-BE49-F238E27FC236}">
              <a16:creationId xmlns:a16="http://schemas.microsoft.com/office/drawing/2014/main" id="{329DE3E0-7F6B-C809-1806-A5FD8CD3F09B}"/>
            </a:ext>
          </a:extLst>
        </xdr:cNvPr>
        <xdr:cNvSpPr txBox="1"/>
      </xdr:nvSpPr>
      <xdr:spPr>
        <a:xfrm>
          <a:off x="3512185" y="1778000"/>
          <a:ext cx="2470785"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l"/>
          <a:r>
            <a:rPr lang="pt-BR" sz="850" b="1">
              <a:solidFill>
                <a:srgbClr val="64748B"/>
              </a:solidFill>
              <a:latin typeface="Segoe UI" panose="020B0502040204020203" pitchFamily="34" charset="0"/>
            </a:rPr>
            <a:t>TOTAL DE DESPESAS</a:t>
          </a:r>
        </a:p>
      </xdr:txBody>
    </xdr:sp>
    <xdr:clientData/>
  </xdr:twoCellAnchor>
  <xdr:twoCellAnchor editAs="absolute">
    <xdr:from>
      <xdr:col>5</xdr:col>
      <xdr:colOff>416560</xdr:colOff>
      <xdr:row>12</xdr:row>
      <xdr:rowOff>101600</xdr:rowOff>
    </xdr:from>
    <xdr:to>
      <xdr:col>9</xdr:col>
      <xdr:colOff>410845</xdr:colOff>
      <xdr:row>13</xdr:row>
      <xdr:rowOff>88900</xdr:rowOff>
    </xdr:to>
    <xdr:sp macro="" textlink="">
      <xdr:nvSpPr>
        <xdr:cNvPr id="1049" name="K_sub1">
          <a:extLst>
            <a:ext uri="{FF2B5EF4-FFF2-40B4-BE49-F238E27FC236}">
              <a16:creationId xmlns:a16="http://schemas.microsoft.com/office/drawing/2014/main" id="{C26AE5A1-3F97-6D37-2CBF-DA798612576A}"/>
            </a:ext>
          </a:extLst>
        </xdr:cNvPr>
        <xdr:cNvSpPr txBox="1"/>
      </xdr:nvSpPr>
      <xdr:spPr>
        <a:xfrm>
          <a:off x="3512185" y="2387600"/>
          <a:ext cx="2470785"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l"/>
          <a:r>
            <a:rPr lang="pt-BR" sz="850" b="0">
              <a:solidFill>
                <a:srgbClr val="64748B"/>
              </a:solidFill>
              <a:latin typeface="Segoe UI" panose="020B0502040204020203" pitchFamily="34" charset="0"/>
            </a:rPr>
            <a:t>Saídas no período</a:t>
          </a:r>
        </a:p>
      </xdr:txBody>
    </xdr:sp>
    <xdr:clientData/>
  </xdr:twoCellAnchor>
  <xdr:twoCellAnchor editAs="absolute">
    <xdr:from>
      <xdr:col>10</xdr:col>
      <xdr:colOff>121920</xdr:colOff>
      <xdr:row>8</xdr:row>
      <xdr:rowOff>127000</xdr:rowOff>
    </xdr:from>
    <xdr:to>
      <xdr:col>14</xdr:col>
      <xdr:colOff>497205</xdr:colOff>
      <xdr:row>14</xdr:row>
      <xdr:rowOff>0</xdr:rowOff>
    </xdr:to>
    <xdr:sp macro="" textlink="">
      <xdr:nvSpPr>
        <xdr:cNvPr id="1050" name="K_card2">
          <a:extLst>
            <a:ext uri="{FF2B5EF4-FFF2-40B4-BE49-F238E27FC236}">
              <a16:creationId xmlns:a16="http://schemas.microsoft.com/office/drawing/2014/main" id="{9AF0B2EC-9C02-C73E-9B2C-67CA0DE7E445}"/>
            </a:ext>
          </a:extLst>
        </xdr:cNvPr>
        <xdr:cNvSpPr/>
      </xdr:nvSpPr>
      <xdr:spPr>
        <a:xfrm>
          <a:off x="6313170" y="1651000"/>
          <a:ext cx="2851785" cy="1016000"/>
        </a:xfrm>
        <a:prstGeom prst="roundRect">
          <a:avLst>
            <a:gd name="adj" fmla="val 6000"/>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10</xdr:col>
      <xdr:colOff>121920</xdr:colOff>
      <xdr:row>8</xdr:row>
      <xdr:rowOff>127000</xdr:rowOff>
    </xdr:from>
    <xdr:to>
      <xdr:col>10</xdr:col>
      <xdr:colOff>185420</xdr:colOff>
      <xdr:row>14</xdr:row>
      <xdr:rowOff>0</xdr:rowOff>
    </xdr:to>
    <xdr:sp macro="" textlink="">
      <xdr:nvSpPr>
        <xdr:cNvPr id="1051" name="K_bar2">
          <a:extLst>
            <a:ext uri="{FF2B5EF4-FFF2-40B4-BE49-F238E27FC236}">
              <a16:creationId xmlns:a16="http://schemas.microsoft.com/office/drawing/2014/main" id="{A41759C3-C16A-48A0-32FB-54FBF6419330}"/>
            </a:ext>
          </a:extLst>
        </xdr:cNvPr>
        <xdr:cNvSpPr/>
      </xdr:nvSpPr>
      <xdr:spPr>
        <a:xfrm>
          <a:off x="6313170" y="1651000"/>
          <a:ext cx="63500" cy="1016000"/>
        </a:xfrm>
        <a:prstGeom prst="rect">
          <a:avLst/>
        </a:prstGeom>
        <a:solidFill>
          <a:srgbClr val="2F6DB5"/>
        </a:solidFill>
        <a:ln w="19050" cap="rnd" cmpd="sng" algn="ctr">
          <a:noFill/>
          <a:prstDash val="solid"/>
        </a:ln>
        <a:effectLst/>
        <a:extLst>
          <a:ext uri="{91240B29-F687-4F45-9708-019B960494DF}">
            <a14:hiddenLine xmlns:a14="http://schemas.microsoft.com/office/drawing/2010/main" w="19050" cap="rnd"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10</xdr:col>
      <xdr:colOff>350520</xdr:colOff>
      <xdr:row>9</xdr:row>
      <xdr:rowOff>63500</xdr:rowOff>
    </xdr:from>
    <xdr:to>
      <xdr:col>14</xdr:col>
      <xdr:colOff>344805</xdr:colOff>
      <xdr:row>10</xdr:row>
      <xdr:rowOff>76200</xdr:rowOff>
    </xdr:to>
    <xdr:sp macro="" textlink="">
      <xdr:nvSpPr>
        <xdr:cNvPr id="1052" name="K_lbl2">
          <a:extLst>
            <a:ext uri="{FF2B5EF4-FFF2-40B4-BE49-F238E27FC236}">
              <a16:creationId xmlns:a16="http://schemas.microsoft.com/office/drawing/2014/main" id="{5B7178D6-03BA-7A2C-DD3D-E58F424E5498}"/>
            </a:ext>
          </a:extLst>
        </xdr:cNvPr>
        <xdr:cNvSpPr txBox="1"/>
      </xdr:nvSpPr>
      <xdr:spPr>
        <a:xfrm>
          <a:off x="6541770" y="1778000"/>
          <a:ext cx="2470785"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l"/>
          <a:r>
            <a:rPr lang="pt-BR" sz="850" b="1">
              <a:solidFill>
                <a:srgbClr val="64748B"/>
              </a:solidFill>
              <a:latin typeface="Segoe UI" panose="020B0502040204020203" pitchFamily="34" charset="0"/>
            </a:rPr>
            <a:t>TOTAL PAGO</a:t>
          </a:r>
        </a:p>
      </xdr:txBody>
    </xdr:sp>
    <xdr:clientData/>
  </xdr:twoCellAnchor>
  <xdr:twoCellAnchor editAs="absolute">
    <xdr:from>
      <xdr:col>10</xdr:col>
      <xdr:colOff>350520</xdr:colOff>
      <xdr:row>12</xdr:row>
      <xdr:rowOff>101600</xdr:rowOff>
    </xdr:from>
    <xdr:to>
      <xdr:col>14</xdr:col>
      <xdr:colOff>344805</xdr:colOff>
      <xdr:row>13</xdr:row>
      <xdr:rowOff>88900</xdr:rowOff>
    </xdr:to>
    <xdr:sp macro="" textlink="">
      <xdr:nvSpPr>
        <xdr:cNvPr id="1053" name="K_sub2">
          <a:extLst>
            <a:ext uri="{FF2B5EF4-FFF2-40B4-BE49-F238E27FC236}">
              <a16:creationId xmlns:a16="http://schemas.microsoft.com/office/drawing/2014/main" id="{A41C4DD7-62FF-24FA-C5AB-D3A27B756C6F}"/>
            </a:ext>
          </a:extLst>
        </xdr:cNvPr>
        <xdr:cNvSpPr txBox="1"/>
      </xdr:nvSpPr>
      <xdr:spPr>
        <a:xfrm>
          <a:off x="6541770" y="2387600"/>
          <a:ext cx="2470785"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l"/>
          <a:r>
            <a:rPr lang="pt-BR" sz="850" b="0">
              <a:solidFill>
                <a:srgbClr val="64748B"/>
              </a:solidFill>
              <a:latin typeface="Segoe UI" panose="020B0502040204020203" pitchFamily="34" charset="0"/>
            </a:rPr>
            <a:t>Despesas realizadas</a:t>
          </a:r>
        </a:p>
      </xdr:txBody>
    </xdr:sp>
    <xdr:clientData/>
  </xdr:twoCellAnchor>
  <xdr:twoCellAnchor editAs="absolute">
    <xdr:from>
      <xdr:col>15</xdr:col>
      <xdr:colOff>55881</xdr:colOff>
      <xdr:row>8</xdr:row>
      <xdr:rowOff>127000</xdr:rowOff>
    </xdr:from>
    <xdr:to>
      <xdr:col>19</xdr:col>
      <xdr:colOff>431166</xdr:colOff>
      <xdr:row>14</xdr:row>
      <xdr:rowOff>0</xdr:rowOff>
    </xdr:to>
    <xdr:sp macro="" textlink="">
      <xdr:nvSpPr>
        <xdr:cNvPr id="1054" name="K_card3">
          <a:extLst>
            <a:ext uri="{FF2B5EF4-FFF2-40B4-BE49-F238E27FC236}">
              <a16:creationId xmlns:a16="http://schemas.microsoft.com/office/drawing/2014/main" id="{905A5D53-A255-F393-3FC5-0C98F66DCB9A}"/>
            </a:ext>
          </a:extLst>
        </xdr:cNvPr>
        <xdr:cNvSpPr/>
      </xdr:nvSpPr>
      <xdr:spPr>
        <a:xfrm>
          <a:off x="9342756" y="1651000"/>
          <a:ext cx="2851785" cy="1016000"/>
        </a:xfrm>
        <a:prstGeom prst="roundRect">
          <a:avLst>
            <a:gd name="adj" fmla="val 6000"/>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15</xdr:col>
      <xdr:colOff>55880</xdr:colOff>
      <xdr:row>8</xdr:row>
      <xdr:rowOff>127000</xdr:rowOff>
    </xdr:from>
    <xdr:to>
      <xdr:col>15</xdr:col>
      <xdr:colOff>119380</xdr:colOff>
      <xdr:row>14</xdr:row>
      <xdr:rowOff>0</xdr:rowOff>
    </xdr:to>
    <xdr:sp macro="" textlink="">
      <xdr:nvSpPr>
        <xdr:cNvPr id="1055" name="K_bar3">
          <a:extLst>
            <a:ext uri="{FF2B5EF4-FFF2-40B4-BE49-F238E27FC236}">
              <a16:creationId xmlns:a16="http://schemas.microsoft.com/office/drawing/2014/main" id="{19E9C767-58B0-98BA-DBE0-8A2CD26C5268}"/>
            </a:ext>
          </a:extLst>
        </xdr:cNvPr>
        <xdr:cNvSpPr/>
      </xdr:nvSpPr>
      <xdr:spPr>
        <a:xfrm>
          <a:off x="9342755" y="1651000"/>
          <a:ext cx="63500" cy="1016000"/>
        </a:xfrm>
        <a:prstGeom prst="rect">
          <a:avLst/>
        </a:prstGeom>
        <a:solidFill>
          <a:srgbClr val="C98A1B"/>
        </a:solidFill>
        <a:ln w="19050" cap="rnd" cmpd="sng" algn="ctr">
          <a:noFill/>
          <a:prstDash val="solid"/>
        </a:ln>
        <a:effectLst/>
        <a:extLst>
          <a:ext uri="{91240B29-F687-4F45-9708-019B960494DF}">
            <a14:hiddenLine xmlns:a14="http://schemas.microsoft.com/office/drawing/2010/main" w="19050" cap="rnd"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15</xdr:col>
      <xdr:colOff>284481</xdr:colOff>
      <xdr:row>9</xdr:row>
      <xdr:rowOff>63500</xdr:rowOff>
    </xdr:from>
    <xdr:to>
      <xdr:col>19</xdr:col>
      <xdr:colOff>278766</xdr:colOff>
      <xdr:row>10</xdr:row>
      <xdr:rowOff>76200</xdr:rowOff>
    </xdr:to>
    <xdr:sp macro="" textlink="">
      <xdr:nvSpPr>
        <xdr:cNvPr id="1056" name="K_lbl3">
          <a:extLst>
            <a:ext uri="{FF2B5EF4-FFF2-40B4-BE49-F238E27FC236}">
              <a16:creationId xmlns:a16="http://schemas.microsoft.com/office/drawing/2014/main" id="{30BE69C1-8B08-54D3-F1F1-CF991B57EDE4}"/>
            </a:ext>
          </a:extLst>
        </xdr:cNvPr>
        <xdr:cNvSpPr txBox="1"/>
      </xdr:nvSpPr>
      <xdr:spPr>
        <a:xfrm>
          <a:off x="9571356" y="1778000"/>
          <a:ext cx="2470785"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l"/>
          <a:r>
            <a:rPr lang="pt-BR" sz="850" b="1">
              <a:solidFill>
                <a:srgbClr val="64748B"/>
              </a:solidFill>
              <a:latin typeface="Segoe UI" panose="020B0502040204020203" pitchFamily="34" charset="0"/>
            </a:rPr>
            <a:t>A PAGAR</a:t>
          </a:r>
        </a:p>
      </xdr:txBody>
    </xdr:sp>
    <xdr:clientData/>
  </xdr:twoCellAnchor>
  <xdr:twoCellAnchor editAs="absolute">
    <xdr:from>
      <xdr:col>15</xdr:col>
      <xdr:colOff>284481</xdr:colOff>
      <xdr:row>12</xdr:row>
      <xdr:rowOff>101600</xdr:rowOff>
    </xdr:from>
    <xdr:to>
      <xdr:col>19</xdr:col>
      <xdr:colOff>278766</xdr:colOff>
      <xdr:row>13</xdr:row>
      <xdr:rowOff>88900</xdr:rowOff>
    </xdr:to>
    <xdr:sp macro="" textlink="">
      <xdr:nvSpPr>
        <xdr:cNvPr id="1057" name="K_sub3">
          <a:extLst>
            <a:ext uri="{FF2B5EF4-FFF2-40B4-BE49-F238E27FC236}">
              <a16:creationId xmlns:a16="http://schemas.microsoft.com/office/drawing/2014/main" id="{1A3A934F-8AA2-6F3D-2881-0A2D69E4D267}"/>
            </a:ext>
          </a:extLst>
        </xdr:cNvPr>
        <xdr:cNvSpPr txBox="1"/>
      </xdr:nvSpPr>
      <xdr:spPr>
        <a:xfrm>
          <a:off x="9571356" y="2387600"/>
          <a:ext cx="2470785"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l"/>
          <a:r>
            <a:rPr lang="pt-BR" sz="850" b="0">
              <a:solidFill>
                <a:srgbClr val="64748B"/>
              </a:solidFill>
              <a:latin typeface="Segoe UI" panose="020B0502040204020203" pitchFamily="34" charset="0"/>
            </a:rPr>
            <a:t>Despesas previstas</a:t>
          </a:r>
        </a:p>
      </xdr:txBody>
    </xdr:sp>
    <xdr:clientData/>
  </xdr:twoCellAnchor>
  <xdr:twoCellAnchor editAs="absolute">
    <xdr:from>
      <xdr:col>19</xdr:col>
      <xdr:colOff>608965</xdr:colOff>
      <xdr:row>8</xdr:row>
      <xdr:rowOff>127000</xdr:rowOff>
    </xdr:from>
    <xdr:to>
      <xdr:col>24</xdr:col>
      <xdr:colOff>365125</xdr:colOff>
      <xdr:row>14</xdr:row>
      <xdr:rowOff>0</xdr:rowOff>
    </xdr:to>
    <xdr:sp macro="" textlink="">
      <xdr:nvSpPr>
        <xdr:cNvPr id="1058" name="K_card4">
          <a:extLst>
            <a:ext uri="{FF2B5EF4-FFF2-40B4-BE49-F238E27FC236}">
              <a16:creationId xmlns:a16="http://schemas.microsoft.com/office/drawing/2014/main" id="{A6D99580-AF47-9410-7A42-B8ABAC4DC687}"/>
            </a:ext>
          </a:extLst>
        </xdr:cNvPr>
        <xdr:cNvSpPr/>
      </xdr:nvSpPr>
      <xdr:spPr>
        <a:xfrm>
          <a:off x="12372340" y="1651000"/>
          <a:ext cx="2851785" cy="1016000"/>
        </a:xfrm>
        <a:prstGeom prst="roundRect">
          <a:avLst>
            <a:gd name="adj" fmla="val 6000"/>
          </a:avLst>
        </a:prstGeom>
        <a:solidFill>
          <a:srgbClr val="FFFFFF"/>
        </a:solidFill>
        <a:ln w="9525">
          <a:solidFill>
            <a:srgbClr val="E2E8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19</xdr:col>
      <xdr:colOff>608965</xdr:colOff>
      <xdr:row>8</xdr:row>
      <xdr:rowOff>127000</xdr:rowOff>
    </xdr:from>
    <xdr:to>
      <xdr:col>20</xdr:col>
      <xdr:colOff>53340</xdr:colOff>
      <xdr:row>14</xdr:row>
      <xdr:rowOff>0</xdr:rowOff>
    </xdr:to>
    <xdr:sp macro="" textlink="">
      <xdr:nvSpPr>
        <xdr:cNvPr id="1059" name="K_bar4">
          <a:extLst>
            <a:ext uri="{FF2B5EF4-FFF2-40B4-BE49-F238E27FC236}">
              <a16:creationId xmlns:a16="http://schemas.microsoft.com/office/drawing/2014/main" id="{00A58B2C-FF76-0109-A9D9-E4B4C0A88BFF}"/>
            </a:ext>
          </a:extLst>
        </xdr:cNvPr>
        <xdr:cNvSpPr/>
      </xdr:nvSpPr>
      <xdr:spPr>
        <a:xfrm>
          <a:off x="12372340" y="1651000"/>
          <a:ext cx="63500" cy="1016000"/>
        </a:xfrm>
        <a:prstGeom prst="rect">
          <a:avLst/>
        </a:prstGeom>
        <a:solidFill>
          <a:srgbClr val="1E293B"/>
        </a:solidFill>
        <a:ln w="19050" cap="rnd" cmpd="sng" algn="ctr">
          <a:noFill/>
          <a:prstDash val="solid"/>
        </a:ln>
        <a:effectLst/>
        <a:extLst>
          <a:ext uri="{91240B29-F687-4F45-9708-019B960494DF}">
            <a14:hiddenLine xmlns:a14="http://schemas.microsoft.com/office/drawing/2010/main" w="19050" cap="rnd"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20</xdr:col>
      <xdr:colOff>218440</xdr:colOff>
      <xdr:row>9</xdr:row>
      <xdr:rowOff>63500</xdr:rowOff>
    </xdr:from>
    <xdr:to>
      <xdr:col>24</xdr:col>
      <xdr:colOff>212725</xdr:colOff>
      <xdr:row>10</xdr:row>
      <xdr:rowOff>76200</xdr:rowOff>
    </xdr:to>
    <xdr:sp macro="" textlink="">
      <xdr:nvSpPr>
        <xdr:cNvPr id="1060" name="K_lbl4">
          <a:extLst>
            <a:ext uri="{FF2B5EF4-FFF2-40B4-BE49-F238E27FC236}">
              <a16:creationId xmlns:a16="http://schemas.microsoft.com/office/drawing/2014/main" id="{32310999-C86E-524B-37CF-1540637F450E}"/>
            </a:ext>
          </a:extLst>
        </xdr:cNvPr>
        <xdr:cNvSpPr txBox="1"/>
      </xdr:nvSpPr>
      <xdr:spPr>
        <a:xfrm>
          <a:off x="12600940" y="1778000"/>
          <a:ext cx="2470785"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l"/>
          <a:r>
            <a:rPr lang="pt-BR" sz="850" b="1">
              <a:solidFill>
                <a:srgbClr val="64748B"/>
              </a:solidFill>
              <a:latin typeface="Segoe UI" panose="020B0502040204020203" pitchFamily="34" charset="0"/>
            </a:rPr>
            <a:t>SALDO ATUAL</a:t>
          </a:r>
        </a:p>
      </xdr:txBody>
    </xdr:sp>
    <xdr:clientData/>
  </xdr:twoCellAnchor>
  <xdr:twoCellAnchor editAs="absolute">
    <xdr:from>
      <xdr:col>20</xdr:col>
      <xdr:colOff>218440</xdr:colOff>
      <xdr:row>12</xdr:row>
      <xdr:rowOff>101600</xdr:rowOff>
    </xdr:from>
    <xdr:to>
      <xdr:col>24</xdr:col>
      <xdr:colOff>212725</xdr:colOff>
      <xdr:row>13</xdr:row>
      <xdr:rowOff>88900</xdr:rowOff>
    </xdr:to>
    <xdr:sp macro="" textlink="">
      <xdr:nvSpPr>
        <xdr:cNvPr id="1061" name="K_sub4">
          <a:extLst>
            <a:ext uri="{FF2B5EF4-FFF2-40B4-BE49-F238E27FC236}">
              <a16:creationId xmlns:a16="http://schemas.microsoft.com/office/drawing/2014/main" id="{9EF0C69B-1F2B-765A-8325-884C9EAEE469}"/>
            </a:ext>
          </a:extLst>
        </xdr:cNvPr>
        <xdr:cNvSpPr txBox="1"/>
      </xdr:nvSpPr>
      <xdr:spPr>
        <a:xfrm>
          <a:off x="12600940" y="2387600"/>
          <a:ext cx="2470785"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l"/>
          <a:r>
            <a:rPr lang="pt-BR" sz="850" b="0">
              <a:solidFill>
                <a:srgbClr val="64748B"/>
              </a:solidFill>
              <a:latin typeface="Segoe UI" panose="020B0502040204020203" pitchFamily="34" charset="0"/>
            </a:rPr>
            <a:t>Receitas menos pago</a:t>
          </a:r>
        </a:p>
      </xdr:txBody>
    </xdr:sp>
    <xdr:clientData/>
  </xdr:twoCellAnchor>
  <xdr:twoCellAnchor editAs="absolute">
    <xdr:from>
      <xdr:col>16</xdr:col>
      <xdr:colOff>228599</xdr:colOff>
      <xdr:row>41</xdr:row>
      <xdr:rowOff>114300</xdr:rowOff>
    </xdr:from>
    <xdr:to>
      <xdr:col>19</xdr:col>
      <xdr:colOff>504824</xdr:colOff>
      <xdr:row>41</xdr:row>
      <xdr:rowOff>127000</xdr:rowOff>
    </xdr:to>
    <xdr:sp macro="" textlink="">
      <xdr:nvSpPr>
        <xdr:cNvPr id="1064" name="L_sep">
          <a:extLst>
            <a:ext uri="{FF2B5EF4-FFF2-40B4-BE49-F238E27FC236}">
              <a16:creationId xmlns:a16="http://schemas.microsoft.com/office/drawing/2014/main" id="{3913F06A-4774-D801-CE98-3BB76EE6A7F7}"/>
            </a:ext>
          </a:extLst>
        </xdr:cNvPr>
        <xdr:cNvSpPr/>
      </xdr:nvSpPr>
      <xdr:spPr>
        <a:xfrm>
          <a:off x="10134599" y="7924800"/>
          <a:ext cx="2133600" cy="12700"/>
        </a:xfrm>
        <a:prstGeom prst="rect">
          <a:avLst/>
        </a:prstGeom>
        <a:solidFill>
          <a:srgbClr val="E2E8F0"/>
        </a:solidFill>
        <a:ln w="19050" cap="rnd" cmpd="sng" algn="ctr">
          <a:noFill/>
          <a:prstDash val="solid"/>
        </a:ln>
        <a:effectLst/>
        <a:extLst>
          <a:ext uri="{91240B29-F687-4F45-9708-019B960494DF}">
            <a14:hiddenLine xmlns:a14="http://schemas.microsoft.com/office/drawing/2010/main" w="19050" cap="rnd"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0</xdr:col>
      <xdr:colOff>0</xdr:colOff>
      <xdr:row>50</xdr:row>
      <xdr:rowOff>0</xdr:rowOff>
    </xdr:from>
    <xdr:to>
      <xdr:col>24</xdr:col>
      <xdr:colOff>111125</xdr:colOff>
      <xdr:row>50</xdr:row>
      <xdr:rowOff>177800</xdr:rowOff>
    </xdr:to>
    <xdr:sp macro="" textlink="">
      <xdr:nvSpPr>
        <xdr:cNvPr id="1065" name="Footer">
          <a:extLst>
            <a:ext uri="{FF2B5EF4-FFF2-40B4-BE49-F238E27FC236}">
              <a16:creationId xmlns:a16="http://schemas.microsoft.com/office/drawing/2014/main" id="{E036B91A-D0D7-3D8A-9176-941374721DD7}"/>
            </a:ext>
          </a:extLst>
        </xdr:cNvPr>
        <xdr:cNvSpPr txBox="1"/>
      </xdr:nvSpPr>
      <xdr:spPr>
        <a:xfrm>
          <a:off x="0" y="9525000"/>
          <a:ext cx="14970125"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pt-BR" sz="850" b="0">
              <a:solidFill>
                <a:srgbClr val="64748B"/>
              </a:solidFill>
              <a:latin typeface="Segoe UI" panose="020B0502040204020203" pitchFamily="34" charset="0"/>
            </a:rPr>
            <a:t>Dados fictícios para demonstração  |  Use Atualizar para recalcular os painéis</a:t>
          </a:r>
        </a:p>
      </xdr:txBody>
    </xdr:sp>
    <xdr:clientData/>
  </xdr:twoCellAnchor>
  <xdr:twoCellAnchor editAs="absolute">
    <xdr:from>
      <xdr:col>0</xdr:col>
      <xdr:colOff>482600</xdr:colOff>
      <xdr:row>10</xdr:row>
      <xdr:rowOff>88900</xdr:rowOff>
    </xdr:from>
    <xdr:to>
      <xdr:col>4</xdr:col>
      <xdr:colOff>476885</xdr:colOff>
      <xdr:row>12</xdr:row>
      <xdr:rowOff>114300</xdr:rowOff>
    </xdr:to>
    <xdr:sp macro="" textlink="ANALISES!Q52">
      <xdr:nvSpPr>
        <xdr:cNvPr id="12" name="CaixaDeTexto 11">
          <a:extLst>
            <a:ext uri="{FF2B5EF4-FFF2-40B4-BE49-F238E27FC236}">
              <a16:creationId xmlns:a16="http://schemas.microsoft.com/office/drawing/2014/main" id="{BF8BA654-E35C-8C12-A4F8-81C69B9CF7A7}"/>
            </a:ext>
          </a:extLst>
        </xdr:cNvPr>
        <xdr:cNvSpPr txBox="1"/>
      </xdr:nvSpPr>
      <xdr:spPr>
        <a:xfrm>
          <a:off x="482600" y="1993900"/>
          <a:ext cx="2470785"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fld id="{6E60B36A-035F-4786-B321-DBBC7B2808F7}" type="TxLink">
            <a:rPr lang="en-US" sz="2100" b="0" i="0" u="none" strike="noStrike">
              <a:solidFill>
                <a:srgbClr val="0F172A"/>
              </a:solidFill>
              <a:latin typeface="Segoe UI Semibold" panose="020B0702040204020203" pitchFamily="34" charset="0"/>
            </a:rPr>
            <a:pPr algn="l"/>
            <a:t>R$ 55.006,25</a:t>
          </a:fld>
          <a:endParaRPr lang="pt-BR" sz="2100" b="0">
            <a:solidFill>
              <a:srgbClr val="0F172A"/>
            </a:solidFill>
            <a:latin typeface="Segoe UI Semibold" panose="020B0702040204020203" pitchFamily="34" charset="0"/>
          </a:endParaRPr>
        </a:p>
      </xdr:txBody>
    </xdr:sp>
    <xdr:clientData/>
  </xdr:twoCellAnchor>
  <xdr:twoCellAnchor editAs="absolute">
    <xdr:from>
      <xdr:col>5</xdr:col>
      <xdr:colOff>416560</xdr:colOff>
      <xdr:row>10</xdr:row>
      <xdr:rowOff>88900</xdr:rowOff>
    </xdr:from>
    <xdr:to>
      <xdr:col>9</xdr:col>
      <xdr:colOff>410845</xdr:colOff>
      <xdr:row>12</xdr:row>
      <xdr:rowOff>114300</xdr:rowOff>
    </xdr:to>
    <xdr:sp macro="" textlink="ANALISES!Q53">
      <xdr:nvSpPr>
        <xdr:cNvPr id="18" name="CaixaDeTexto 17">
          <a:extLst>
            <a:ext uri="{FF2B5EF4-FFF2-40B4-BE49-F238E27FC236}">
              <a16:creationId xmlns:a16="http://schemas.microsoft.com/office/drawing/2014/main" id="{404C5F8F-B8A5-49E4-B6DE-158958841E08}"/>
            </a:ext>
          </a:extLst>
        </xdr:cNvPr>
        <xdr:cNvSpPr txBox="1"/>
      </xdr:nvSpPr>
      <xdr:spPr>
        <a:xfrm>
          <a:off x="3512185" y="1993900"/>
          <a:ext cx="2470785"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marL="0" indent="0" algn="l"/>
          <a:fld id="{F8EF9606-CCAF-42ED-A578-0DF73D6AC6C7}" type="TxLink">
            <a:rPr lang="en-US" sz="2100" b="0" i="0" u="none" strike="noStrike">
              <a:solidFill>
                <a:srgbClr val="0F172A"/>
              </a:solidFill>
              <a:latin typeface="Segoe UI Semibold" panose="020B0702040204020203" pitchFamily="34" charset="0"/>
              <a:ea typeface="+mn-ea"/>
              <a:cs typeface="+mn-cs"/>
            </a:rPr>
            <a:pPr marL="0" indent="0" algn="l"/>
            <a:t>R$ 47.630,75</a:t>
          </a:fld>
          <a:endParaRPr lang="pt-BR" sz="2100" b="0" i="0" u="none" strike="noStrike">
            <a:solidFill>
              <a:srgbClr val="0F172A"/>
            </a:solidFill>
            <a:latin typeface="Segoe UI Semibold" panose="020B0702040204020203" pitchFamily="34" charset="0"/>
            <a:ea typeface="+mn-ea"/>
            <a:cs typeface="+mn-cs"/>
          </a:endParaRPr>
        </a:p>
      </xdr:txBody>
    </xdr:sp>
    <xdr:clientData/>
  </xdr:twoCellAnchor>
  <xdr:twoCellAnchor editAs="absolute">
    <xdr:from>
      <xdr:col>10</xdr:col>
      <xdr:colOff>350520</xdr:colOff>
      <xdr:row>10</xdr:row>
      <xdr:rowOff>88900</xdr:rowOff>
    </xdr:from>
    <xdr:to>
      <xdr:col>14</xdr:col>
      <xdr:colOff>344805</xdr:colOff>
      <xdr:row>12</xdr:row>
      <xdr:rowOff>114300</xdr:rowOff>
    </xdr:to>
    <xdr:sp macro="" textlink="ANALISES!Q55">
      <xdr:nvSpPr>
        <xdr:cNvPr id="19" name="CaixaDeTexto 18">
          <a:extLst>
            <a:ext uri="{FF2B5EF4-FFF2-40B4-BE49-F238E27FC236}">
              <a16:creationId xmlns:a16="http://schemas.microsoft.com/office/drawing/2014/main" id="{F3CE5AFD-45E5-4475-B6CF-32C34EA0009B}"/>
            </a:ext>
          </a:extLst>
        </xdr:cNvPr>
        <xdr:cNvSpPr txBox="1"/>
      </xdr:nvSpPr>
      <xdr:spPr>
        <a:xfrm>
          <a:off x="6541770" y="1993900"/>
          <a:ext cx="2470785"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marL="0" indent="0" algn="l"/>
          <a:fld id="{45D72059-8B86-43FF-BAF0-D78536A9A066}" type="TxLink">
            <a:rPr lang="en-US" sz="2100" b="0" i="0" u="none" strike="noStrike">
              <a:solidFill>
                <a:srgbClr val="0F172A"/>
              </a:solidFill>
              <a:latin typeface="Segoe UI Semibold" panose="020B0702040204020203" pitchFamily="34" charset="0"/>
              <a:ea typeface="+mn-ea"/>
              <a:cs typeface="+mn-cs"/>
            </a:rPr>
            <a:pPr marL="0" indent="0" algn="l"/>
            <a:t>R$ 34.361,05</a:t>
          </a:fld>
          <a:endParaRPr lang="pt-BR" sz="2100" b="0" i="0" u="none" strike="noStrike">
            <a:solidFill>
              <a:srgbClr val="0F172A"/>
            </a:solidFill>
            <a:latin typeface="Segoe UI Semibold" panose="020B0702040204020203" pitchFamily="34" charset="0"/>
            <a:ea typeface="+mn-ea"/>
            <a:cs typeface="+mn-cs"/>
          </a:endParaRPr>
        </a:p>
      </xdr:txBody>
    </xdr:sp>
    <xdr:clientData/>
  </xdr:twoCellAnchor>
  <xdr:twoCellAnchor editAs="absolute">
    <xdr:from>
      <xdr:col>15</xdr:col>
      <xdr:colOff>284481</xdr:colOff>
      <xdr:row>10</xdr:row>
      <xdr:rowOff>88900</xdr:rowOff>
    </xdr:from>
    <xdr:to>
      <xdr:col>19</xdr:col>
      <xdr:colOff>278766</xdr:colOff>
      <xdr:row>12</xdr:row>
      <xdr:rowOff>114300</xdr:rowOff>
    </xdr:to>
    <xdr:sp macro="" textlink="ANALISES!Q56">
      <xdr:nvSpPr>
        <xdr:cNvPr id="22" name="CaixaDeTexto 21">
          <a:extLst>
            <a:ext uri="{FF2B5EF4-FFF2-40B4-BE49-F238E27FC236}">
              <a16:creationId xmlns:a16="http://schemas.microsoft.com/office/drawing/2014/main" id="{6EE789DD-D298-D34D-9172-1A3354D91F2F}"/>
            </a:ext>
          </a:extLst>
        </xdr:cNvPr>
        <xdr:cNvSpPr txBox="1"/>
      </xdr:nvSpPr>
      <xdr:spPr>
        <a:xfrm>
          <a:off x="9571356" y="1993900"/>
          <a:ext cx="2470785"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marL="0" indent="0" algn="l"/>
          <a:fld id="{8C0DB67F-4C9F-4E53-B79C-CDAD23C57946}" type="TxLink">
            <a:rPr lang="en-US" sz="2100" b="0" i="0" u="none" strike="noStrike">
              <a:solidFill>
                <a:srgbClr val="0F172A"/>
              </a:solidFill>
              <a:latin typeface="Segoe UI Semibold" panose="020B0702040204020203" pitchFamily="34" charset="0"/>
              <a:ea typeface="+mn-ea"/>
              <a:cs typeface="+mn-cs"/>
            </a:rPr>
            <a:pPr marL="0" indent="0" algn="l"/>
            <a:t>R$ 13.269,70</a:t>
          </a:fld>
          <a:endParaRPr lang="pt-BR" sz="2100" b="0" i="0" u="none" strike="noStrike">
            <a:solidFill>
              <a:srgbClr val="0F172A"/>
            </a:solidFill>
            <a:latin typeface="Segoe UI Semibold" panose="020B0702040204020203" pitchFamily="34" charset="0"/>
            <a:ea typeface="+mn-ea"/>
            <a:cs typeface="+mn-cs"/>
          </a:endParaRPr>
        </a:p>
      </xdr:txBody>
    </xdr:sp>
    <xdr:clientData/>
  </xdr:twoCellAnchor>
  <xdr:twoCellAnchor editAs="absolute">
    <xdr:from>
      <xdr:col>20</xdr:col>
      <xdr:colOff>218440</xdr:colOff>
      <xdr:row>10</xdr:row>
      <xdr:rowOff>88900</xdr:rowOff>
    </xdr:from>
    <xdr:to>
      <xdr:col>24</xdr:col>
      <xdr:colOff>212725</xdr:colOff>
      <xdr:row>12</xdr:row>
      <xdr:rowOff>114300</xdr:rowOff>
    </xdr:to>
    <xdr:sp macro="" textlink="ANALISES!Q57">
      <xdr:nvSpPr>
        <xdr:cNvPr id="27" name="CaixaDeTexto 26">
          <a:extLst>
            <a:ext uri="{FF2B5EF4-FFF2-40B4-BE49-F238E27FC236}">
              <a16:creationId xmlns:a16="http://schemas.microsoft.com/office/drawing/2014/main" id="{7E595E09-5991-B9B2-1840-1700CC6E8861}"/>
            </a:ext>
          </a:extLst>
        </xdr:cNvPr>
        <xdr:cNvSpPr txBox="1"/>
      </xdr:nvSpPr>
      <xdr:spPr>
        <a:xfrm>
          <a:off x="12600940" y="1993900"/>
          <a:ext cx="2470785" cy="406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marL="0" indent="0" algn="l"/>
          <a:fld id="{13E1E94E-F779-4854-84B8-1C9DAB489063}" type="TxLink">
            <a:rPr lang="en-US" sz="2100" b="0" i="0" u="none" strike="noStrike">
              <a:solidFill>
                <a:srgbClr val="0F172A"/>
              </a:solidFill>
              <a:latin typeface="Segoe UI Semibold" panose="020B0702040204020203" pitchFamily="34" charset="0"/>
              <a:ea typeface="+mn-ea"/>
              <a:cs typeface="+mn-cs"/>
            </a:rPr>
            <a:pPr marL="0" indent="0" algn="l"/>
            <a:t>R$ 20.645,20</a:t>
          </a:fld>
          <a:endParaRPr lang="pt-BR" sz="2100" b="0" i="0" u="none" strike="noStrike">
            <a:solidFill>
              <a:srgbClr val="0F172A"/>
            </a:solidFill>
            <a:latin typeface="Segoe UI Semibold" panose="020B0702040204020203" pitchFamily="34" charset="0"/>
            <a:ea typeface="+mn-ea"/>
            <a:cs typeface="+mn-cs"/>
          </a:endParaRPr>
        </a:p>
      </xdr:txBody>
    </xdr:sp>
    <xdr:clientData/>
  </xdr:twoCellAnchor>
  <xdr:twoCellAnchor editAs="absolute">
    <xdr:from>
      <xdr:col>7</xdr:col>
      <xdr:colOff>85724</xdr:colOff>
      <xdr:row>36</xdr:row>
      <xdr:rowOff>101600</xdr:rowOff>
    </xdr:from>
    <xdr:to>
      <xdr:col>11</xdr:col>
      <xdr:colOff>403224</xdr:colOff>
      <xdr:row>39</xdr:row>
      <xdr:rowOff>38100</xdr:rowOff>
    </xdr:to>
    <xdr:sp macro="" textlink="ANALISES!AO4">
      <xdr:nvSpPr>
        <xdr:cNvPr id="2" name="CaixaDeTexto 1">
          <a:extLst>
            <a:ext uri="{FF2B5EF4-FFF2-40B4-BE49-F238E27FC236}">
              <a16:creationId xmlns:a16="http://schemas.microsoft.com/office/drawing/2014/main" id="{11149234-8BB2-6292-A4DD-2339578FE934}"/>
            </a:ext>
          </a:extLst>
        </xdr:cNvPr>
        <xdr:cNvSpPr txBox="1"/>
      </xdr:nvSpPr>
      <xdr:spPr>
        <a:xfrm>
          <a:off x="4419599" y="6959600"/>
          <a:ext cx="27940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tlCol="0" anchor="ctr"/>
        <a:lstStyle/>
        <a:p>
          <a:pPr marL="0" indent="0" algn="l"/>
          <a:fld id="{026093CF-8864-4FF9-8A5E-54F67E7CC25A}" type="TxLink">
            <a:rPr lang="en-US" sz="1800" b="0" i="0" u="none" strike="noStrike">
              <a:solidFill>
                <a:srgbClr val="0F172A"/>
              </a:solidFill>
              <a:latin typeface="Segoe UI Semibold" panose="020B0702040204020203" pitchFamily="34" charset="0"/>
              <a:ea typeface="+mn-ea"/>
              <a:cs typeface="+mn-cs"/>
            </a:rPr>
            <a:pPr marL="0" indent="0" algn="l"/>
            <a:t>R$ 9.848,55</a:t>
          </a:fld>
          <a:endParaRPr lang="pt-BR" sz="1800" b="0" i="0" u="none" strike="noStrike">
            <a:solidFill>
              <a:srgbClr val="0F172A"/>
            </a:solidFill>
            <a:latin typeface="Segoe UI Semibold" panose="020B0702040204020203" pitchFamily="34" charset="0"/>
            <a:ea typeface="+mn-ea"/>
            <a:cs typeface="+mn-cs"/>
          </a:endParaRPr>
        </a:p>
      </xdr:txBody>
    </xdr:sp>
    <xdr:clientData/>
  </xdr:twoCellAnchor>
  <xdr:twoCellAnchor editAs="absolute">
    <xdr:from>
      <xdr:col>16</xdr:col>
      <xdr:colOff>228599</xdr:colOff>
      <xdr:row>38</xdr:row>
      <xdr:rowOff>50800</xdr:rowOff>
    </xdr:from>
    <xdr:to>
      <xdr:col>19</xdr:col>
      <xdr:colOff>530224</xdr:colOff>
      <xdr:row>40</xdr:row>
      <xdr:rowOff>50800</xdr:rowOff>
    </xdr:to>
    <xdr:sp macro="" textlink="EMPRESTIMOS!C9">
      <xdr:nvSpPr>
        <xdr:cNvPr id="61" name="CaixaDeTexto_Funcef">
          <a:extLst>
            <a:ext uri="{FF2B5EF4-FFF2-40B4-BE49-F238E27FC236}">
              <a16:creationId xmlns:a16="http://schemas.microsoft.com/office/drawing/2014/main" id="{EDB744E8-23E6-0638-BCC6-F87264434463}"/>
            </a:ext>
          </a:extLst>
        </xdr:cNvPr>
        <xdr:cNvSpPr txBox="1"/>
      </xdr:nvSpPr>
      <xdr:spPr>
        <a:xfrm>
          <a:off x="10134599" y="7289800"/>
          <a:ext cx="215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tlCol="0" anchor="ctr">
          <a:noAutofit/>
        </a:bodyPr>
        <a:lstStyle/>
        <a:p>
          <a:pPr marL="0" indent="0" algn="l"/>
          <a:fld id="{534BF742-D653-4A64-B53E-9B1DDD81AB66}" type="TxLink">
            <a:rPr lang="en-US" sz="1700" b="0" i="0" u="none" strike="noStrike">
              <a:solidFill>
                <a:srgbClr val="0F172A"/>
              </a:solidFill>
              <a:latin typeface="Segoe UI Semibold" panose="020B0702040204020203" pitchFamily="34" charset="0"/>
              <a:ea typeface="+mn-ea"/>
              <a:cs typeface="+mn-cs"/>
            </a:rPr>
            <a:pPr marL="0" indent="0" algn="l"/>
            <a:t>R$ 29.989,00</a:t>
          </a:fld>
          <a:endParaRPr lang="pt-BR" sz="1700" b="0" i="0" u="none" strike="noStrike">
            <a:solidFill>
              <a:srgbClr val="0F172A"/>
            </a:solidFill>
            <a:latin typeface="Segoe UI Semibold" panose="020B0702040204020203" pitchFamily="34" charset="0"/>
            <a:ea typeface="+mn-ea"/>
            <a:cs typeface="+mn-cs"/>
          </a:endParaRPr>
        </a:p>
      </xdr:txBody>
    </xdr:sp>
    <xdr:clientData/>
  </xdr:twoCellAnchor>
  <xdr:twoCellAnchor editAs="absolute">
    <xdr:from>
      <xdr:col>16</xdr:col>
      <xdr:colOff>228599</xdr:colOff>
      <xdr:row>43</xdr:row>
      <xdr:rowOff>165100</xdr:rowOff>
    </xdr:from>
    <xdr:to>
      <xdr:col>19</xdr:col>
      <xdr:colOff>530224</xdr:colOff>
      <xdr:row>45</xdr:row>
      <xdr:rowOff>165100</xdr:rowOff>
    </xdr:to>
    <xdr:sp macro="" textlink="EMPRESTIMOS!D9">
      <xdr:nvSpPr>
        <xdr:cNvPr id="63" name="CaixaDeTexto _Consignado">
          <a:extLst>
            <a:ext uri="{FF2B5EF4-FFF2-40B4-BE49-F238E27FC236}">
              <a16:creationId xmlns:a16="http://schemas.microsoft.com/office/drawing/2014/main" id="{0467C0F5-27B5-8A39-B3CB-1BB4035B0665}"/>
            </a:ext>
          </a:extLst>
        </xdr:cNvPr>
        <xdr:cNvSpPr txBox="1"/>
      </xdr:nvSpPr>
      <xdr:spPr>
        <a:xfrm>
          <a:off x="10134599" y="8356600"/>
          <a:ext cx="215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tlCol="0" anchor="ctr">
          <a:noAutofit/>
        </a:bodyPr>
        <a:lstStyle/>
        <a:p>
          <a:pPr marL="0" indent="0" algn="l"/>
          <a:fld id="{2F5292AB-28EA-457A-8970-67E1724BAC15}" type="TxLink">
            <a:rPr lang="en-US" sz="1700" b="0" i="0" u="none" strike="noStrike">
              <a:solidFill>
                <a:srgbClr val="0F172A"/>
              </a:solidFill>
              <a:latin typeface="Segoe UI Semibold" panose="020B0702040204020203" pitchFamily="34" charset="0"/>
              <a:ea typeface="+mn-ea"/>
              <a:cs typeface="+mn-cs"/>
            </a:rPr>
            <a:pPr marL="0" indent="0" algn="l"/>
            <a:t>R$ 23.560,00</a:t>
          </a:fld>
          <a:endParaRPr lang="pt-BR" sz="1700" b="0" i="0" u="none" strike="noStrike">
            <a:solidFill>
              <a:srgbClr val="0F172A"/>
            </a:solidFill>
            <a:latin typeface="Segoe UI Semibold" panose="020B0702040204020203" pitchFamily="34" charset="0"/>
            <a:ea typeface="+mn-ea"/>
            <a:cs typeface="+mn-cs"/>
          </a:endParaRPr>
        </a:p>
      </xdr:txBody>
    </xdr:sp>
    <xdr:clientData/>
  </xdr:twoCellAnchor>
  <xdr:twoCellAnchor editAs="absolute">
    <xdr:from>
      <xdr:col>16</xdr:col>
      <xdr:colOff>228599</xdr:colOff>
      <xdr:row>37</xdr:row>
      <xdr:rowOff>12700</xdr:rowOff>
    </xdr:from>
    <xdr:to>
      <xdr:col>19</xdr:col>
      <xdr:colOff>530224</xdr:colOff>
      <xdr:row>38</xdr:row>
      <xdr:rowOff>25400</xdr:rowOff>
    </xdr:to>
    <xdr:sp macro="" textlink="">
      <xdr:nvSpPr>
        <xdr:cNvPr id="62" name="CaixaDeTexto 61">
          <a:extLst>
            <a:ext uri="{FF2B5EF4-FFF2-40B4-BE49-F238E27FC236}">
              <a16:creationId xmlns:a16="http://schemas.microsoft.com/office/drawing/2014/main" id="{BA8F01C6-E7EB-9C44-B495-500D5580C850}"/>
            </a:ext>
          </a:extLst>
        </xdr:cNvPr>
        <xdr:cNvSpPr txBox="1"/>
      </xdr:nvSpPr>
      <xdr:spPr>
        <a:xfrm>
          <a:off x="10134599" y="7061200"/>
          <a:ext cx="2159000" cy="203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r>
            <a:rPr lang="pt-BR" sz="850" b="1">
              <a:solidFill>
                <a:srgbClr val="64748B"/>
              </a:solidFill>
              <a:latin typeface="Segoe UI" panose="020B0502040204020203" pitchFamily="34" charset="0"/>
            </a:rPr>
            <a:t>FINANC. VEÍCULO</a:t>
          </a:r>
        </a:p>
      </xdr:txBody>
    </xdr:sp>
    <xdr:clientData/>
  </xdr:twoCellAnchor>
  <xdr:twoCellAnchor editAs="absolute">
    <xdr:from>
      <xdr:col>16</xdr:col>
      <xdr:colOff>228599</xdr:colOff>
      <xdr:row>42</xdr:row>
      <xdr:rowOff>127000</xdr:rowOff>
    </xdr:from>
    <xdr:to>
      <xdr:col>19</xdr:col>
      <xdr:colOff>530224</xdr:colOff>
      <xdr:row>43</xdr:row>
      <xdr:rowOff>139700</xdr:rowOff>
    </xdr:to>
    <xdr:sp macro="" textlink="">
      <xdr:nvSpPr>
        <xdr:cNvPr id="1024" name="CaixaDeTexto 1023">
          <a:extLst>
            <a:ext uri="{FF2B5EF4-FFF2-40B4-BE49-F238E27FC236}">
              <a16:creationId xmlns:a16="http://schemas.microsoft.com/office/drawing/2014/main" id="{6597078E-A4A0-39B6-7A7C-593A204C6807}"/>
            </a:ext>
          </a:extLst>
        </xdr:cNvPr>
        <xdr:cNvSpPr txBox="1"/>
      </xdr:nvSpPr>
      <xdr:spPr>
        <a:xfrm>
          <a:off x="10134599" y="8128000"/>
          <a:ext cx="2159000" cy="203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r>
            <a:rPr lang="pt-BR" sz="850" b="1">
              <a:solidFill>
                <a:srgbClr val="64748B"/>
              </a:solidFill>
              <a:latin typeface="Segoe UI" panose="020B0502040204020203" pitchFamily="34" charset="0"/>
            </a:rPr>
            <a:t>CONSIGNADO</a:t>
          </a:r>
        </a:p>
      </xdr:txBody>
    </xdr:sp>
    <xdr:clientData/>
  </xdr:twoCellAnchor>
  <xdr:twoCellAnchor editAs="absolute">
    <xdr:from>
      <xdr:col>0</xdr:col>
      <xdr:colOff>355600</xdr:colOff>
      <xdr:row>17</xdr:row>
      <xdr:rowOff>88900</xdr:rowOff>
    </xdr:from>
    <xdr:to>
      <xdr:col>7</xdr:col>
      <xdr:colOff>9525</xdr:colOff>
      <xdr:row>32</xdr:row>
      <xdr:rowOff>152400</xdr:rowOff>
    </xdr:to>
    <xdr:graphicFrame macro="">
      <xdr:nvGraphicFramePr>
        <xdr:cNvPr id="28" name="Gráfico 27">
          <a:extLst>
            <a:ext uri="{FF2B5EF4-FFF2-40B4-BE49-F238E27FC236}">
              <a16:creationId xmlns:a16="http://schemas.microsoft.com/office/drawing/2014/main" id="{2A2BCD12-F261-46BD-B584-3FE17443B4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390525</xdr:colOff>
      <xdr:row>17</xdr:row>
      <xdr:rowOff>88900</xdr:rowOff>
    </xdr:from>
    <xdr:to>
      <xdr:col>16</xdr:col>
      <xdr:colOff>584200</xdr:colOff>
      <xdr:row>32</xdr:row>
      <xdr:rowOff>152400</xdr:rowOff>
    </xdr:to>
    <xdr:graphicFrame macro="">
      <xdr:nvGraphicFramePr>
        <xdr:cNvPr id="30" name="Gráfico 29">
          <a:extLst>
            <a:ext uri="{FF2B5EF4-FFF2-40B4-BE49-F238E27FC236}">
              <a16:creationId xmlns:a16="http://schemas.microsoft.com/office/drawing/2014/main" id="{66CAEAB9-A5FC-4D70-8143-062053D69C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17</xdr:col>
      <xdr:colOff>346075</xdr:colOff>
      <xdr:row>17</xdr:row>
      <xdr:rowOff>88900</xdr:rowOff>
    </xdr:from>
    <xdr:to>
      <xdr:col>24</xdr:col>
      <xdr:colOff>279400</xdr:colOff>
      <xdr:row>32</xdr:row>
      <xdr:rowOff>152400</xdr:rowOff>
    </xdr:to>
    <xdr:graphicFrame macro="">
      <xdr:nvGraphicFramePr>
        <xdr:cNvPr id="3" name="Gráfico 2">
          <a:extLst>
            <a:ext uri="{FF2B5EF4-FFF2-40B4-BE49-F238E27FC236}">
              <a16:creationId xmlns:a16="http://schemas.microsoft.com/office/drawing/2014/main" id="{A1D739CA-91C1-4656-BB24-9DFDDC94E3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0</xdr:col>
      <xdr:colOff>355599</xdr:colOff>
      <xdr:row>36</xdr:row>
      <xdr:rowOff>101600</xdr:rowOff>
    </xdr:from>
    <xdr:to>
      <xdr:col>6</xdr:col>
      <xdr:colOff>247649</xdr:colOff>
      <xdr:row>49</xdr:row>
      <xdr:rowOff>12700</xdr:rowOff>
    </xdr:to>
    <xdr:graphicFrame macro="">
      <xdr:nvGraphicFramePr>
        <xdr:cNvPr id="52" name="Gráfico 51">
          <a:extLst>
            <a:ext uri="{FF2B5EF4-FFF2-40B4-BE49-F238E27FC236}">
              <a16:creationId xmlns:a16="http://schemas.microsoft.com/office/drawing/2014/main" id="{CE65CCBF-484F-477D-B885-94CC6DA066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7</xdr:col>
      <xdr:colOff>9524</xdr:colOff>
      <xdr:row>40</xdr:row>
      <xdr:rowOff>0</xdr:rowOff>
    </xdr:from>
    <xdr:to>
      <xdr:col>11</xdr:col>
      <xdr:colOff>504824</xdr:colOff>
      <xdr:row>49</xdr:row>
      <xdr:rowOff>12700</xdr:rowOff>
    </xdr:to>
    <xdr:graphicFrame macro="">
      <xdr:nvGraphicFramePr>
        <xdr:cNvPr id="33" name="Gráfico 32">
          <a:extLst>
            <a:ext uri="{FF2B5EF4-FFF2-40B4-BE49-F238E27FC236}">
              <a16:creationId xmlns:a16="http://schemas.microsoft.com/office/drawing/2014/main" id="{F8AAA8BA-8606-41AB-82F6-53EE0D615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12</xdr:col>
      <xdr:colOff>266699</xdr:colOff>
      <xdr:row>36</xdr:row>
      <xdr:rowOff>101600</xdr:rowOff>
    </xdr:from>
    <xdr:to>
      <xdr:col>15</xdr:col>
      <xdr:colOff>365124</xdr:colOff>
      <xdr:row>49</xdr:row>
      <xdr:rowOff>12700</xdr:rowOff>
    </xdr:to>
    <xdr:graphicFrame macro="">
      <xdr:nvGraphicFramePr>
        <xdr:cNvPr id="41" name="Gráfico 40">
          <a:extLst>
            <a:ext uri="{FF2B5EF4-FFF2-40B4-BE49-F238E27FC236}">
              <a16:creationId xmlns:a16="http://schemas.microsoft.com/office/drawing/2014/main" id="{8EB0D823-64A0-4611-9E78-ABDD80AE04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20</xdr:col>
      <xdr:colOff>368299</xdr:colOff>
      <xdr:row>36</xdr:row>
      <xdr:rowOff>101600</xdr:rowOff>
    </xdr:from>
    <xdr:to>
      <xdr:col>24</xdr:col>
      <xdr:colOff>279399</xdr:colOff>
      <xdr:row>49</xdr:row>
      <xdr:rowOff>12700</xdr:rowOff>
    </xdr:to>
    <xdr:graphicFrame macro="">
      <xdr:nvGraphicFramePr>
        <xdr:cNvPr id="14" name="Gráfico 13">
          <a:extLst>
            <a:ext uri="{FF2B5EF4-FFF2-40B4-BE49-F238E27FC236}">
              <a16:creationId xmlns:a16="http://schemas.microsoft.com/office/drawing/2014/main" id="{EBA11F54-B5CF-4D36-8683-1B0E61E0A8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7</xdr:col>
      <xdr:colOff>85724</xdr:colOff>
      <xdr:row>39</xdr:row>
      <xdr:rowOff>12700</xdr:rowOff>
    </xdr:from>
    <xdr:to>
      <xdr:col>11</xdr:col>
      <xdr:colOff>403224</xdr:colOff>
      <xdr:row>40</xdr:row>
      <xdr:rowOff>0</xdr:rowOff>
    </xdr:to>
    <xdr:sp macro="" textlink="">
      <xdr:nvSpPr>
        <xdr:cNvPr id="1062" name="L_cartao">
          <a:extLst>
            <a:ext uri="{FF2B5EF4-FFF2-40B4-BE49-F238E27FC236}">
              <a16:creationId xmlns:a16="http://schemas.microsoft.com/office/drawing/2014/main" id="{95E0CF54-B532-31EC-85E4-0F8583FC11B7}"/>
            </a:ext>
          </a:extLst>
        </xdr:cNvPr>
        <xdr:cNvSpPr txBox="1"/>
      </xdr:nvSpPr>
      <xdr:spPr>
        <a:xfrm>
          <a:off x="4419599" y="7442200"/>
          <a:ext cx="27940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l"/>
          <a:r>
            <a:rPr lang="pt-BR" sz="850" b="0">
              <a:solidFill>
                <a:srgbClr val="64748B"/>
              </a:solidFill>
              <a:latin typeface="Segoe UI" panose="020B0502040204020203" pitchFamily="34" charset="0"/>
            </a:rPr>
            <a:t>Última fatura registrada</a:t>
          </a:r>
        </a:p>
      </xdr:txBody>
    </xdr:sp>
    <xdr:clientData/>
  </xdr:twoCellAnchor>
  <xdr:twoCellAnchor editAs="absolute">
    <xdr:from>
      <xdr:col>16</xdr:col>
      <xdr:colOff>228599</xdr:colOff>
      <xdr:row>46</xdr:row>
      <xdr:rowOff>127000</xdr:rowOff>
    </xdr:from>
    <xdr:to>
      <xdr:col>19</xdr:col>
      <xdr:colOff>530224</xdr:colOff>
      <xdr:row>47</xdr:row>
      <xdr:rowOff>114300</xdr:rowOff>
    </xdr:to>
    <xdr:sp macro="" textlink="">
      <xdr:nvSpPr>
        <xdr:cNvPr id="1063" name="L_empr">
          <a:extLst>
            <a:ext uri="{FF2B5EF4-FFF2-40B4-BE49-F238E27FC236}">
              <a16:creationId xmlns:a16="http://schemas.microsoft.com/office/drawing/2014/main" id="{05AFC5E6-ED31-1366-E7A2-16077BA44A28}"/>
            </a:ext>
          </a:extLst>
        </xdr:cNvPr>
        <xdr:cNvSpPr txBox="1"/>
      </xdr:nvSpPr>
      <xdr:spPr>
        <a:xfrm>
          <a:off x="10134599" y="8890000"/>
          <a:ext cx="21590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l"/>
          <a:r>
            <a:rPr lang="pt-BR" sz="850" b="0">
              <a:solidFill>
                <a:srgbClr val="64748B"/>
              </a:solidFill>
              <a:latin typeface="Segoe UI" panose="020B0502040204020203" pitchFamily="34" charset="0"/>
            </a:rPr>
            <a:t>Saldo devedor atual</a:t>
          </a:r>
        </a:p>
      </xdr:txBody>
    </xdr:sp>
    <xdr:clientData/>
  </xdr:twoCellAnchor>
  <xdr:twoCellAnchor editAs="absolute">
    <xdr:from>
      <xdr:col>0</xdr:col>
      <xdr:colOff>254000</xdr:colOff>
      <xdr:row>3</xdr:row>
      <xdr:rowOff>165100</xdr:rowOff>
    </xdr:from>
    <xdr:to>
      <xdr:col>14</xdr:col>
      <xdr:colOff>402167</xdr:colOff>
      <xdr:row>8</xdr:row>
      <xdr:rowOff>0</xdr:rowOff>
    </xdr:to>
    <mc:AlternateContent xmlns:mc="http://schemas.openxmlformats.org/markup-compatibility/2006" xmlns:a14="http://schemas.microsoft.com/office/drawing/2010/main">
      <mc:Choice Requires="a14">
        <xdr:graphicFrame macro="">
          <xdr:nvGraphicFramePr>
            <xdr:cNvPr id="6" name="MÊS REF">
              <a:extLst>
                <a:ext uri="{FF2B5EF4-FFF2-40B4-BE49-F238E27FC236}">
                  <a16:creationId xmlns:a16="http://schemas.microsoft.com/office/drawing/2014/main" id="{187457B8-44E5-4981-A2AD-804D3637DF9C}"/>
                </a:ext>
              </a:extLst>
            </xdr:cNvPr>
            <xdr:cNvGraphicFramePr/>
          </xdr:nvGraphicFramePr>
          <xdr:xfrm>
            <a:off x="0" y="0"/>
            <a:ext cx="0" cy="0"/>
          </xdr:xfrm>
          <a:graphic>
            <a:graphicData uri="http://schemas.microsoft.com/office/drawing/2010/slicer">
              <sle:slicer xmlns:sle="http://schemas.microsoft.com/office/drawing/2010/slicer" name="MÊS REF"/>
            </a:graphicData>
          </a:graphic>
        </xdr:graphicFrame>
      </mc:Choice>
      <mc:Fallback xmlns="">
        <xdr:sp macro="" textlink="">
          <xdr:nvSpPr>
            <xdr:cNvPr id="0" name=""/>
            <xdr:cNvSpPr>
              <a:spLocks noTextEdit="1"/>
            </xdr:cNvSpPr>
          </xdr:nvSpPr>
          <xdr:spPr>
            <a:xfrm>
              <a:off x="254000" y="736600"/>
              <a:ext cx="8815917" cy="78740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14</xdr:col>
      <xdr:colOff>579967</xdr:colOff>
      <xdr:row>3</xdr:row>
      <xdr:rowOff>165100</xdr:rowOff>
    </xdr:from>
    <xdr:to>
      <xdr:col>24</xdr:col>
      <xdr:colOff>238125</xdr:colOff>
      <xdr:row>8</xdr:row>
      <xdr:rowOff>0</xdr:rowOff>
    </xdr:to>
    <mc:AlternateContent xmlns:mc="http://schemas.openxmlformats.org/markup-compatibility/2006" xmlns:a14="http://schemas.microsoft.com/office/drawing/2010/main">
      <mc:Choice Requires="a14">
        <xdr:graphicFrame macro="">
          <xdr:nvGraphicFramePr>
            <xdr:cNvPr id="20" name="Status Pgto">
              <a:extLst>
                <a:ext uri="{FF2B5EF4-FFF2-40B4-BE49-F238E27FC236}">
                  <a16:creationId xmlns:a16="http://schemas.microsoft.com/office/drawing/2014/main" id="{7CF0C53F-27A4-42EA-B330-4DCACD73196B}"/>
                </a:ext>
              </a:extLst>
            </xdr:cNvPr>
            <xdr:cNvGraphicFramePr/>
          </xdr:nvGraphicFramePr>
          <xdr:xfrm>
            <a:off x="0" y="0"/>
            <a:ext cx="0" cy="0"/>
          </xdr:xfrm>
          <a:graphic>
            <a:graphicData uri="http://schemas.microsoft.com/office/drawing/2010/slicer">
              <sle:slicer xmlns:sle="http://schemas.microsoft.com/office/drawing/2010/slicer" name="Status Pgto"/>
            </a:graphicData>
          </a:graphic>
        </xdr:graphicFrame>
      </mc:Choice>
      <mc:Fallback xmlns="">
        <xdr:sp macro="" textlink="">
          <xdr:nvSpPr>
            <xdr:cNvPr id="0" name=""/>
            <xdr:cNvSpPr>
              <a:spLocks noTextEdit="1"/>
            </xdr:cNvSpPr>
          </xdr:nvSpPr>
          <xdr:spPr>
            <a:xfrm>
              <a:off x="9247717" y="736600"/>
              <a:ext cx="5849408" cy="78740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0</xdr:row>
      <xdr:rowOff>0</xdr:rowOff>
    </xdr:from>
    <xdr:to>
      <xdr:col>25</xdr:col>
      <xdr:colOff>0</xdr:colOff>
      <xdr:row>3</xdr:row>
      <xdr:rowOff>38100</xdr:rowOff>
    </xdr:to>
    <xdr:sp macro="" textlink="">
      <xdr:nvSpPr>
        <xdr:cNvPr id="16" name="TopBar">
          <a:extLst>
            <a:ext uri="{FF2B5EF4-FFF2-40B4-BE49-F238E27FC236}">
              <a16:creationId xmlns:a16="http://schemas.microsoft.com/office/drawing/2014/main" id="{D7E8CD5F-1072-C9F8-5D6E-3DD6E173E0CE}"/>
            </a:ext>
          </a:extLst>
        </xdr:cNvPr>
        <xdr:cNvSpPr/>
      </xdr:nvSpPr>
      <xdr:spPr>
        <a:xfrm>
          <a:off x="0" y="0"/>
          <a:ext cx="15478125" cy="609600"/>
        </a:xfrm>
        <a:prstGeom prst="rect">
          <a:avLst/>
        </a:prstGeom>
        <a:solidFill>
          <a:srgbClr val="1E293B"/>
        </a:solidFill>
        <a:ln w="19050" cap="rnd" cmpd="sng" algn="ctr">
          <a:noFill/>
          <a:prstDash val="solid"/>
        </a:ln>
        <a:effectLst/>
        <a:extLst>
          <a:ext uri="{91240B29-F687-4F45-9708-019B960494DF}">
            <a14:hiddenLine xmlns:a14="http://schemas.microsoft.com/office/drawing/2010/main" w="19050" cap="rnd"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0</xdr:col>
      <xdr:colOff>254000</xdr:colOff>
      <xdr:row>0</xdr:row>
      <xdr:rowOff>0</xdr:rowOff>
    </xdr:from>
    <xdr:to>
      <xdr:col>6</xdr:col>
      <xdr:colOff>349250</xdr:colOff>
      <xdr:row>3</xdr:row>
      <xdr:rowOff>38100</xdr:rowOff>
    </xdr:to>
    <xdr:sp macro="" textlink="">
      <xdr:nvSpPr>
        <xdr:cNvPr id="17" name="AppTitle">
          <a:extLst>
            <a:ext uri="{FF2B5EF4-FFF2-40B4-BE49-F238E27FC236}">
              <a16:creationId xmlns:a16="http://schemas.microsoft.com/office/drawing/2014/main" id="{714B5A83-263E-53B4-0C07-3FD1CBC44760}"/>
            </a:ext>
          </a:extLst>
        </xdr:cNvPr>
        <xdr:cNvSpPr txBox="1"/>
      </xdr:nvSpPr>
      <xdr:spPr>
        <a:xfrm>
          <a:off x="254000" y="0"/>
          <a:ext cx="38100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l"/>
          <a:r>
            <a:rPr lang="pt-BR" sz="1500" b="1">
              <a:solidFill>
                <a:srgbClr val="FFFFFF"/>
              </a:solidFill>
              <a:latin typeface="Segoe UI Semibold" panose="020B0702040204020203" pitchFamily="34" charset="0"/>
            </a:rPr>
            <a:t>Controle Financeiro</a:t>
          </a:r>
        </a:p>
      </xdr:txBody>
    </xdr:sp>
    <xdr:clientData/>
  </xdr:twoCellAnchor>
  <xdr:twoCellAnchor editAs="absolute">
    <xdr:from>
      <xdr:col>5</xdr:col>
      <xdr:colOff>79375</xdr:colOff>
      <xdr:row>0</xdr:row>
      <xdr:rowOff>127000</xdr:rowOff>
    </xdr:from>
    <xdr:to>
      <xdr:col>7</xdr:col>
      <xdr:colOff>339725</xdr:colOff>
      <xdr:row>2</xdr:row>
      <xdr:rowOff>101600</xdr:rowOff>
    </xdr:to>
    <xdr:sp macro="" textlink="">
      <xdr:nvSpPr>
        <xdr:cNvPr id="21" name="NavDashboard">
          <a:extLst>
            <a:ext uri="{FF2B5EF4-FFF2-40B4-BE49-F238E27FC236}">
              <a16:creationId xmlns:a16="http://schemas.microsoft.com/office/drawing/2014/main" id="{5564ED41-028C-0DE8-9A25-B7951A6996D1}"/>
            </a:ext>
          </a:extLst>
        </xdr:cNvPr>
        <xdr:cNvSpPr/>
      </xdr:nvSpPr>
      <xdr:spPr>
        <a:xfrm>
          <a:off x="3175000" y="127000"/>
          <a:ext cx="1498600" cy="355600"/>
        </a:xfrm>
        <a:prstGeom prst="roundRect">
          <a:avLst>
            <a:gd name="adj" fmla="val 20000"/>
          </a:avLst>
        </a:prstGeom>
        <a:solidFill>
          <a:srgbClr val="2F6DB5"/>
        </a:solidFill>
        <a:ln w="19050" cap="rnd" cmpd="sng" algn="ctr">
          <a:noFill/>
          <a:prstDash val="solid"/>
        </a:ln>
        <a:effectLst/>
        <a:extLst>
          <a:ext uri="{91240B29-F687-4F45-9708-019B960494DF}">
            <a14:hiddenLine xmlns:a14="http://schemas.microsoft.com/office/drawing/2010/main" w="19050" cap="rnd"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1050" b="1">
              <a:solidFill>
                <a:srgbClr val="FFFFFF"/>
              </a:solidFill>
              <a:latin typeface="Segoe UI" panose="020B0502040204020203" pitchFamily="34" charset="0"/>
            </a:rPr>
            <a:t>Dashboard</a:t>
          </a:r>
        </a:p>
      </xdr:txBody>
    </xdr:sp>
    <xdr:clientData fLocksWithSheet="0"/>
  </xdr:twoCellAnchor>
  <xdr:twoCellAnchor editAs="absolute">
    <xdr:from>
      <xdr:col>7</xdr:col>
      <xdr:colOff>441325</xdr:colOff>
      <xdr:row>0</xdr:row>
      <xdr:rowOff>127000</xdr:rowOff>
    </xdr:from>
    <xdr:to>
      <xdr:col>10</xdr:col>
      <xdr:colOff>82550</xdr:colOff>
      <xdr:row>2</xdr:row>
      <xdr:rowOff>101600</xdr:rowOff>
    </xdr:to>
    <xdr:sp macro="" textlink="">
      <xdr:nvSpPr>
        <xdr:cNvPr id="23" name="NavLancamentos">
          <a:hlinkClick xmlns:r="http://schemas.openxmlformats.org/officeDocument/2006/relationships" r:id="rId9" tooltip="Ir para Lançamentos"/>
          <a:extLst>
            <a:ext uri="{FF2B5EF4-FFF2-40B4-BE49-F238E27FC236}">
              <a16:creationId xmlns:a16="http://schemas.microsoft.com/office/drawing/2014/main" id="{75DA5F43-99B1-91BE-7F4C-230E8A1D24FE}"/>
            </a:ext>
          </a:extLst>
        </xdr:cNvPr>
        <xdr:cNvSpPr/>
      </xdr:nvSpPr>
      <xdr:spPr>
        <a:xfrm>
          <a:off x="4775200" y="127000"/>
          <a:ext cx="1498600" cy="355600"/>
        </a:xfrm>
        <a:prstGeom prst="roundRect">
          <a:avLst>
            <a:gd name="adj" fmla="val 20000"/>
          </a:avLst>
        </a:prstGeom>
        <a:solidFill>
          <a:srgbClr val="334155"/>
        </a:solidFill>
        <a:ln w="19050" cap="rnd" cmpd="sng" algn="ctr">
          <a:noFill/>
          <a:prstDash val="solid"/>
        </a:ln>
        <a:effectLst/>
        <a:extLst>
          <a:ext uri="{91240B29-F687-4F45-9708-019B960494DF}">
            <a14:hiddenLine xmlns:a14="http://schemas.microsoft.com/office/drawing/2010/main" w="19050" cap="rnd"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1050" b="0">
              <a:solidFill>
                <a:srgbClr val="CBD5E1"/>
              </a:solidFill>
              <a:latin typeface="Segoe UI" panose="020B0502040204020203" pitchFamily="34" charset="0"/>
            </a:rPr>
            <a:t>Lançamentos</a:t>
          </a:r>
        </a:p>
      </xdr:txBody>
    </xdr:sp>
    <xdr:clientData fLocksWithSheet="0"/>
  </xdr:twoCellAnchor>
  <xdr:twoCellAnchor editAs="absolute">
    <xdr:from>
      <xdr:col>10</xdr:col>
      <xdr:colOff>184150</xdr:colOff>
      <xdr:row>0</xdr:row>
      <xdr:rowOff>127000</xdr:rowOff>
    </xdr:from>
    <xdr:to>
      <xdr:col>12</xdr:col>
      <xdr:colOff>444500</xdr:colOff>
      <xdr:row>2</xdr:row>
      <xdr:rowOff>101600</xdr:rowOff>
    </xdr:to>
    <xdr:sp macro="" textlink="">
      <xdr:nvSpPr>
        <xdr:cNvPr id="24" name="NavEmprestimos">
          <a:hlinkClick xmlns:r="http://schemas.openxmlformats.org/officeDocument/2006/relationships" r:id="rId1" tooltip="Ir para Empréstimos"/>
          <a:extLst>
            <a:ext uri="{FF2B5EF4-FFF2-40B4-BE49-F238E27FC236}">
              <a16:creationId xmlns:a16="http://schemas.microsoft.com/office/drawing/2014/main" id="{C685C2E6-3EBC-AEF2-55A4-1154C26F9644}"/>
            </a:ext>
          </a:extLst>
        </xdr:cNvPr>
        <xdr:cNvSpPr/>
      </xdr:nvSpPr>
      <xdr:spPr>
        <a:xfrm>
          <a:off x="6375400" y="127000"/>
          <a:ext cx="1498600" cy="355600"/>
        </a:xfrm>
        <a:prstGeom prst="roundRect">
          <a:avLst>
            <a:gd name="adj" fmla="val 20000"/>
          </a:avLst>
        </a:prstGeom>
        <a:solidFill>
          <a:srgbClr val="334155"/>
        </a:solidFill>
        <a:ln w="19050" cap="rnd" cmpd="sng" algn="ctr">
          <a:noFill/>
          <a:prstDash val="solid"/>
        </a:ln>
        <a:effectLst/>
        <a:extLst>
          <a:ext uri="{91240B29-F687-4F45-9708-019B960494DF}">
            <a14:hiddenLine xmlns:a14="http://schemas.microsoft.com/office/drawing/2010/main" w="19050" cap="rnd"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1050" b="0">
              <a:solidFill>
                <a:srgbClr val="CBD5E1"/>
              </a:solidFill>
              <a:latin typeface="Segoe UI" panose="020B0502040204020203" pitchFamily="34" charset="0"/>
            </a:rPr>
            <a:t>Empréstimos</a:t>
          </a:r>
        </a:p>
      </xdr:txBody>
    </xdr:sp>
    <xdr:clientData fLocksWithSheet="0"/>
  </xdr:twoCellAnchor>
  <xdr:twoCellAnchor editAs="absolute">
    <xdr:from>
      <xdr:col>16</xdr:col>
      <xdr:colOff>238125</xdr:colOff>
      <xdr:row>0</xdr:row>
      <xdr:rowOff>127000</xdr:rowOff>
    </xdr:from>
    <xdr:to>
      <xdr:col>18</xdr:col>
      <xdr:colOff>168275</xdr:colOff>
      <xdr:row>2</xdr:row>
      <xdr:rowOff>101600</xdr:rowOff>
    </xdr:to>
    <xdr:sp macro="AtualizaTudo" textlink="">
      <xdr:nvSpPr>
        <xdr:cNvPr id="25" name="BtnAtualizar">
          <a:extLst>
            <a:ext uri="{FF2B5EF4-FFF2-40B4-BE49-F238E27FC236}">
              <a16:creationId xmlns:a16="http://schemas.microsoft.com/office/drawing/2014/main" id="{551CB5E4-FD0D-C56C-D159-BA0DC3F7E804}"/>
            </a:ext>
          </a:extLst>
        </xdr:cNvPr>
        <xdr:cNvSpPr/>
      </xdr:nvSpPr>
      <xdr:spPr>
        <a:xfrm>
          <a:off x="10144125" y="127000"/>
          <a:ext cx="1168400" cy="355600"/>
        </a:xfrm>
        <a:prstGeom prst="roundRect">
          <a:avLst>
            <a:gd name="adj" fmla="val 20000"/>
          </a:avLst>
        </a:prstGeom>
        <a:noFill/>
        <a:ln w="9525" cap="rnd" cmpd="sng" algn="ctr">
          <a:solidFill>
            <a:srgbClr val="475569"/>
          </a:solidFill>
          <a:prstDash val="soli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950" b="0">
              <a:solidFill>
                <a:srgbClr val="CBD5E1"/>
              </a:solidFill>
              <a:latin typeface="Segoe UI" panose="020B0502040204020203" pitchFamily="34" charset="0"/>
            </a:rPr>
            <a:t>Atualizar</a:t>
          </a:r>
        </a:p>
      </xdr:txBody>
    </xdr:sp>
    <xdr:clientData fLocksWithSheet="0"/>
  </xdr:twoCellAnchor>
  <xdr:twoCellAnchor editAs="absolute">
    <xdr:from>
      <xdr:col>18</xdr:col>
      <xdr:colOff>269875</xdr:colOff>
      <xdr:row>0</xdr:row>
      <xdr:rowOff>127000</xdr:rowOff>
    </xdr:from>
    <xdr:to>
      <xdr:col>20</xdr:col>
      <xdr:colOff>200025</xdr:colOff>
      <xdr:row>2</xdr:row>
      <xdr:rowOff>101600</xdr:rowOff>
    </xdr:to>
    <xdr:sp macro="AbrirCalculadora" textlink="">
      <xdr:nvSpPr>
        <xdr:cNvPr id="26" name="BtnCalc">
          <a:extLst>
            <a:ext uri="{FF2B5EF4-FFF2-40B4-BE49-F238E27FC236}">
              <a16:creationId xmlns:a16="http://schemas.microsoft.com/office/drawing/2014/main" id="{C267F634-1A9C-F47E-E3C5-43B17D969C4B}"/>
            </a:ext>
          </a:extLst>
        </xdr:cNvPr>
        <xdr:cNvSpPr/>
      </xdr:nvSpPr>
      <xdr:spPr>
        <a:xfrm>
          <a:off x="11414125" y="127000"/>
          <a:ext cx="1168400" cy="355600"/>
        </a:xfrm>
        <a:prstGeom prst="roundRect">
          <a:avLst>
            <a:gd name="adj" fmla="val 20000"/>
          </a:avLst>
        </a:prstGeom>
        <a:noFill/>
        <a:ln w="9525" cap="rnd" cmpd="sng" algn="ctr">
          <a:solidFill>
            <a:srgbClr val="475569"/>
          </a:solidFill>
          <a:prstDash val="soli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950" b="0">
              <a:solidFill>
                <a:srgbClr val="CBD5E1"/>
              </a:solidFill>
              <a:latin typeface="Segoe UI" panose="020B0502040204020203" pitchFamily="34" charset="0"/>
            </a:rPr>
            <a:t>Calculadora</a:t>
          </a:r>
        </a:p>
      </xdr:txBody>
    </xdr:sp>
    <xdr:clientData fLocksWithSheet="0"/>
  </xdr:twoCellAnchor>
  <xdr:twoCellAnchor editAs="absolute">
    <xdr:from>
      <xdr:col>20</xdr:col>
      <xdr:colOff>301625</xdr:colOff>
      <xdr:row>0</xdr:row>
      <xdr:rowOff>127000</xdr:rowOff>
    </xdr:from>
    <xdr:to>
      <xdr:col>22</xdr:col>
      <xdr:colOff>180975</xdr:colOff>
      <xdr:row>2</xdr:row>
      <xdr:rowOff>101600</xdr:rowOff>
    </xdr:to>
    <xdr:sp macro="TelaCheia" textlink="">
      <xdr:nvSpPr>
        <xdr:cNvPr id="29" name="BtnTela">
          <a:extLst>
            <a:ext uri="{FF2B5EF4-FFF2-40B4-BE49-F238E27FC236}">
              <a16:creationId xmlns:a16="http://schemas.microsoft.com/office/drawing/2014/main" id="{D36A2348-32DA-68CB-76EA-1492E50FBD56}"/>
            </a:ext>
          </a:extLst>
        </xdr:cNvPr>
        <xdr:cNvSpPr/>
      </xdr:nvSpPr>
      <xdr:spPr>
        <a:xfrm>
          <a:off x="12684125" y="127000"/>
          <a:ext cx="1117600" cy="355600"/>
        </a:xfrm>
        <a:prstGeom prst="roundRect">
          <a:avLst>
            <a:gd name="adj" fmla="val 20000"/>
          </a:avLst>
        </a:prstGeom>
        <a:noFill/>
        <a:ln w="9525" cap="rnd" cmpd="sng" algn="ctr">
          <a:solidFill>
            <a:srgbClr val="475569"/>
          </a:solidFill>
          <a:prstDash val="soli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950" b="0">
              <a:solidFill>
                <a:srgbClr val="CBD5E1"/>
              </a:solidFill>
              <a:latin typeface="Segoe UI" panose="020B0502040204020203" pitchFamily="34" charset="0"/>
            </a:rPr>
            <a:t>Tela cheia</a:t>
          </a:r>
        </a:p>
      </xdr:txBody>
    </xdr:sp>
    <xdr:clientData fLocksWithSheet="0"/>
  </xdr:twoCellAnchor>
  <xdr:twoCellAnchor editAs="absolute">
    <xdr:from>
      <xdr:col>22</xdr:col>
      <xdr:colOff>282575</xdr:colOff>
      <xdr:row>0</xdr:row>
      <xdr:rowOff>127000</xdr:rowOff>
    </xdr:from>
    <xdr:to>
      <xdr:col>24</xdr:col>
      <xdr:colOff>365125</xdr:colOff>
      <xdr:row>2</xdr:row>
      <xdr:rowOff>101600</xdr:rowOff>
    </xdr:to>
    <xdr:sp macro="VoltarNormal" textlink="">
      <xdr:nvSpPr>
        <xdr:cNvPr id="31" name="BtnSair">
          <a:extLst>
            <a:ext uri="{FF2B5EF4-FFF2-40B4-BE49-F238E27FC236}">
              <a16:creationId xmlns:a16="http://schemas.microsoft.com/office/drawing/2014/main" id="{2CBCFE9A-F8DA-EA6E-B8CF-A6AD25D70307}"/>
            </a:ext>
          </a:extLst>
        </xdr:cNvPr>
        <xdr:cNvSpPr/>
      </xdr:nvSpPr>
      <xdr:spPr>
        <a:xfrm>
          <a:off x="13903325" y="127000"/>
          <a:ext cx="1320800" cy="355600"/>
        </a:xfrm>
        <a:prstGeom prst="roundRect">
          <a:avLst>
            <a:gd name="adj" fmla="val 20000"/>
          </a:avLst>
        </a:prstGeom>
        <a:noFill/>
        <a:ln w="9525" cap="rnd" cmpd="sng" algn="ctr">
          <a:solidFill>
            <a:srgbClr val="475569"/>
          </a:solidFill>
          <a:prstDash val="soli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950" b="0">
              <a:solidFill>
                <a:srgbClr val="CBD5E1"/>
              </a:solidFill>
              <a:latin typeface="Segoe UI" panose="020B0502040204020203" pitchFamily="34" charset="0"/>
            </a:rPr>
            <a:t>Sair tela cheia</a:t>
          </a:r>
        </a:p>
      </xdr:txBody>
    </xdr:sp>
    <xdr:clientData fLocksWithSheet="0"/>
  </xdr:twoCellAnchor>
  <xdr:twoCellAnchor editAs="absolute">
    <xdr:from>
      <xdr:col>10</xdr:col>
      <xdr:colOff>304571</xdr:colOff>
      <xdr:row>51</xdr:row>
      <xdr:rowOff>12700</xdr:rowOff>
    </xdr:from>
    <xdr:to>
      <xdr:col>11</xdr:col>
      <xdr:colOff>47276</xdr:colOff>
      <xdr:row>51</xdr:row>
      <xdr:rowOff>157676</xdr:rowOff>
    </xdr:to>
    <xdr:sp macro="" textlink="">
      <xdr:nvSpPr>
        <xdr:cNvPr id="4" name="Copy_a">
          <a:extLst>
            <a:ext uri="{FF2B5EF4-FFF2-40B4-BE49-F238E27FC236}">
              <a16:creationId xmlns:a16="http://schemas.microsoft.com/office/drawing/2014/main" id="{5FB90C9E-2081-FD39-9ACA-A74F88E9FBC2}"/>
            </a:ext>
          </a:extLst>
        </xdr:cNvPr>
        <xdr:cNvSpPr txBox="1"/>
      </xdr:nvSpPr>
      <xdr:spPr>
        <a:xfrm>
          <a:off x="6495821" y="9728200"/>
          <a:ext cx="361830" cy="14497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lang="pt-BR" sz="850" b="0">
              <a:solidFill>
                <a:srgbClr val="64748B"/>
              </a:solidFill>
              <a:latin typeface="Segoe UI" panose="020B0502040204020203" pitchFamily="34" charset="0"/>
            </a:rPr>
            <a:t>© 2026</a:t>
          </a:r>
        </a:p>
      </xdr:txBody>
    </xdr:sp>
    <xdr:clientData/>
  </xdr:twoCellAnchor>
  <xdr:twoCellAnchor editAs="absolute">
    <xdr:from>
      <xdr:col>11</xdr:col>
      <xdr:colOff>98075</xdr:colOff>
      <xdr:row>51</xdr:row>
      <xdr:rowOff>12700</xdr:rowOff>
    </xdr:from>
    <xdr:to>
      <xdr:col>12</xdr:col>
      <xdr:colOff>106429</xdr:colOff>
      <xdr:row>51</xdr:row>
      <xdr:rowOff>157676</xdr:rowOff>
    </xdr:to>
    <xdr:sp macro="" textlink="">
      <xdr:nvSpPr>
        <xdr:cNvPr id="5" name="Copy_link">
          <a:hlinkClick xmlns:r="http://schemas.openxmlformats.org/officeDocument/2006/relationships" r:id="rId10" tooltip="Abrir gillemosai.com"/>
          <a:extLst>
            <a:ext uri="{FF2B5EF4-FFF2-40B4-BE49-F238E27FC236}">
              <a16:creationId xmlns:a16="http://schemas.microsoft.com/office/drawing/2014/main" id="{1D4150C8-4294-B2D7-3D38-55214CC212DA}"/>
            </a:ext>
          </a:extLst>
        </xdr:cNvPr>
        <xdr:cNvSpPr txBox="1"/>
      </xdr:nvSpPr>
      <xdr:spPr>
        <a:xfrm>
          <a:off x="6908450" y="9728200"/>
          <a:ext cx="627479" cy="14497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lang="pt-BR" sz="850" b="1" u="sng">
              <a:solidFill>
                <a:srgbClr val="2F6DB5"/>
              </a:solidFill>
              <a:latin typeface="Segoe UI" panose="020B0502040204020203" pitchFamily="34" charset="0"/>
            </a:rPr>
            <a:t>@gillemosai</a:t>
          </a:r>
        </a:p>
      </xdr:txBody>
    </xdr:sp>
    <xdr:clientData fLocksWithSheet="0"/>
  </xdr:twoCellAnchor>
  <xdr:twoCellAnchor editAs="absolute">
    <xdr:from>
      <xdr:col>12</xdr:col>
      <xdr:colOff>157229</xdr:colOff>
      <xdr:row>51</xdr:row>
      <xdr:rowOff>12700</xdr:rowOff>
    </xdr:from>
    <xdr:to>
      <xdr:col>14</xdr:col>
      <xdr:colOff>314554</xdr:colOff>
      <xdr:row>51</xdr:row>
      <xdr:rowOff>157676</xdr:rowOff>
    </xdr:to>
    <xdr:sp macro="" textlink="">
      <xdr:nvSpPr>
        <xdr:cNvPr id="7" name="Copy_b">
          <a:extLst>
            <a:ext uri="{FF2B5EF4-FFF2-40B4-BE49-F238E27FC236}">
              <a16:creationId xmlns:a16="http://schemas.microsoft.com/office/drawing/2014/main" id="{9FB31A5A-C0AF-3967-29DC-10B7DDB2ABEA}"/>
            </a:ext>
          </a:extLst>
        </xdr:cNvPr>
        <xdr:cNvSpPr txBox="1"/>
      </xdr:nvSpPr>
      <xdr:spPr>
        <a:xfrm>
          <a:off x="7586729" y="9728200"/>
          <a:ext cx="1395575" cy="14497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spAutoFit/>
        </a:bodyPr>
        <a:lstStyle/>
        <a:p>
          <a:pPr algn="l"/>
          <a:r>
            <a:rPr lang="pt-BR" sz="850" b="0">
              <a:solidFill>
                <a:srgbClr val="64748B"/>
              </a:solidFill>
              <a:latin typeface="Segoe UI" panose="020B0502040204020203" pitchFamily="34" charset="0"/>
            </a:rPr>
            <a:t>Todos os direitos reservados.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127000</xdr:colOff>
      <xdr:row>4</xdr:row>
      <xdr:rowOff>15875</xdr:rowOff>
    </xdr:from>
    <xdr:to>
      <xdr:col>5</xdr:col>
      <xdr:colOff>930275</xdr:colOff>
      <xdr:row>7</xdr:row>
      <xdr:rowOff>180975</xdr:rowOff>
    </xdr:to>
    <mc:AlternateContent xmlns:mc="http://schemas.openxmlformats.org/markup-compatibility/2006" xmlns:sle15="http://schemas.microsoft.com/office/drawing/2012/slicer">
      <mc:Choice Requires="sle15">
        <xdr:graphicFrame macro="">
          <xdr:nvGraphicFramePr>
            <xdr:cNvPr id="4" name="Periodo2">
              <a:extLst>
                <a:ext uri="{FF2B5EF4-FFF2-40B4-BE49-F238E27FC236}">
                  <a16:creationId xmlns:a16="http://schemas.microsoft.com/office/drawing/2014/main" id="{75444220-30D7-2537-20A9-644DA0581315}"/>
                </a:ext>
              </a:extLst>
            </xdr:cNvPr>
            <xdr:cNvGraphicFramePr/>
          </xdr:nvGraphicFramePr>
          <xdr:xfrm>
            <a:off x="0" y="0"/>
            <a:ext cx="0" cy="0"/>
          </xdr:xfrm>
          <a:graphic>
            <a:graphicData uri="http://schemas.microsoft.com/office/drawing/2010/slicer">
              <sle:slicer xmlns:sle="http://schemas.microsoft.com/office/drawing/2010/slicer" name="Periodo2"/>
            </a:graphicData>
          </a:graphic>
        </xdr:graphicFrame>
      </mc:Choice>
      <mc:Fallback xmlns="">
        <xdr:sp macro="" textlink="">
          <xdr:nvSpPr>
            <xdr:cNvPr id="0" name=""/>
            <xdr:cNvSpPr>
              <a:spLocks noTextEdit="1"/>
            </xdr:cNvSpPr>
          </xdr:nvSpPr>
          <xdr:spPr>
            <a:xfrm>
              <a:off x="127000" y="711200"/>
              <a:ext cx="6604000" cy="7366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1108075</xdr:colOff>
      <xdr:row>4</xdr:row>
      <xdr:rowOff>15875</xdr:rowOff>
    </xdr:from>
    <xdr:to>
      <xdr:col>7</xdr:col>
      <xdr:colOff>2384425</xdr:colOff>
      <xdr:row>7</xdr:row>
      <xdr:rowOff>180975</xdr:rowOff>
    </xdr:to>
    <mc:AlternateContent xmlns:mc="http://schemas.openxmlformats.org/markup-compatibility/2006" xmlns:sle15="http://schemas.microsoft.com/office/drawing/2012/slicer">
      <mc:Choice Requires="sle15">
        <xdr:graphicFrame macro="">
          <xdr:nvGraphicFramePr>
            <xdr:cNvPr id="5" name="StatusPgto2">
              <a:extLst>
                <a:ext uri="{FF2B5EF4-FFF2-40B4-BE49-F238E27FC236}">
                  <a16:creationId xmlns:a16="http://schemas.microsoft.com/office/drawing/2014/main" id="{D129FA80-8087-AAE7-439E-D180D1D3A8E2}"/>
                </a:ext>
              </a:extLst>
            </xdr:cNvPr>
            <xdr:cNvGraphicFramePr/>
          </xdr:nvGraphicFramePr>
          <xdr:xfrm>
            <a:off x="0" y="0"/>
            <a:ext cx="0" cy="0"/>
          </xdr:xfrm>
          <a:graphic>
            <a:graphicData uri="http://schemas.microsoft.com/office/drawing/2010/slicer">
              <sle:slicer xmlns:sle="http://schemas.microsoft.com/office/drawing/2010/slicer" name="StatusPgto2"/>
            </a:graphicData>
          </a:graphic>
        </xdr:graphicFrame>
      </mc:Choice>
      <mc:Fallback xmlns="">
        <xdr:sp macro="" textlink="">
          <xdr:nvSpPr>
            <xdr:cNvPr id="0" name=""/>
            <xdr:cNvSpPr>
              <a:spLocks noTextEdit="1"/>
            </xdr:cNvSpPr>
          </xdr:nvSpPr>
          <xdr:spPr>
            <a:xfrm>
              <a:off x="6908800" y="711200"/>
              <a:ext cx="3810000" cy="736600"/>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0</xdr:rowOff>
    </xdr:from>
    <xdr:to>
      <xdr:col>12</xdr:col>
      <xdr:colOff>0</xdr:colOff>
      <xdr:row>3</xdr:row>
      <xdr:rowOff>9525</xdr:rowOff>
    </xdr:to>
    <xdr:sp macro="" textlink="">
      <xdr:nvSpPr>
        <xdr:cNvPr id="8" name="TopBar">
          <a:extLst>
            <a:ext uri="{FF2B5EF4-FFF2-40B4-BE49-F238E27FC236}">
              <a16:creationId xmlns:a16="http://schemas.microsoft.com/office/drawing/2014/main" id="{157F85C2-2939-4684-8D31-CDECEAE36126}"/>
            </a:ext>
          </a:extLst>
        </xdr:cNvPr>
        <xdr:cNvSpPr/>
      </xdr:nvSpPr>
      <xdr:spPr>
        <a:xfrm>
          <a:off x="0" y="0"/>
          <a:ext cx="16078200" cy="609600"/>
        </a:xfrm>
        <a:prstGeom prst="rect">
          <a:avLst/>
        </a:prstGeom>
        <a:solidFill>
          <a:srgbClr val="1E293B"/>
        </a:solidFill>
        <a:ln w="19050" cap="rnd" cmpd="sng" algn="ctr">
          <a:noFill/>
          <a:prstDash val="solid"/>
        </a:ln>
        <a:effectLst/>
        <a:extLst>
          <a:ext uri="{91240B29-F687-4F45-9708-019B960494DF}">
            <a14:hiddenLine xmlns:a14="http://schemas.microsoft.com/office/drawing/2010/main" w="19050" cap="rnd"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0</xdr:col>
      <xdr:colOff>254000</xdr:colOff>
      <xdr:row>0</xdr:row>
      <xdr:rowOff>0</xdr:rowOff>
    </xdr:from>
    <xdr:to>
      <xdr:col>4</xdr:col>
      <xdr:colOff>444500</xdr:colOff>
      <xdr:row>3</xdr:row>
      <xdr:rowOff>9525</xdr:rowOff>
    </xdr:to>
    <xdr:sp macro="" textlink="">
      <xdr:nvSpPr>
        <xdr:cNvPr id="9" name="AppTitle">
          <a:extLst>
            <a:ext uri="{FF2B5EF4-FFF2-40B4-BE49-F238E27FC236}">
              <a16:creationId xmlns:a16="http://schemas.microsoft.com/office/drawing/2014/main" id="{B43FABDD-F97C-6710-54A1-C37CBD2C21B8}"/>
            </a:ext>
          </a:extLst>
        </xdr:cNvPr>
        <xdr:cNvSpPr txBox="1"/>
      </xdr:nvSpPr>
      <xdr:spPr>
        <a:xfrm>
          <a:off x="254000" y="0"/>
          <a:ext cx="38100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l"/>
          <a:r>
            <a:rPr lang="pt-BR" sz="1500" b="1">
              <a:solidFill>
                <a:srgbClr val="FFFFFF"/>
              </a:solidFill>
              <a:latin typeface="Segoe UI Semibold" panose="020B0702040204020203" pitchFamily="34" charset="0"/>
            </a:rPr>
            <a:t>Controle Financeiro</a:t>
          </a:r>
        </a:p>
      </xdr:txBody>
    </xdr:sp>
    <xdr:clientData/>
  </xdr:twoCellAnchor>
  <xdr:twoCellAnchor editAs="absolute">
    <xdr:from>
      <xdr:col>3</xdr:col>
      <xdr:colOff>479425</xdr:colOff>
      <xdr:row>0</xdr:row>
      <xdr:rowOff>127000</xdr:rowOff>
    </xdr:from>
    <xdr:to>
      <xdr:col>4</xdr:col>
      <xdr:colOff>1054100</xdr:colOff>
      <xdr:row>2</xdr:row>
      <xdr:rowOff>82550</xdr:rowOff>
    </xdr:to>
    <xdr:sp macro="" textlink="">
      <xdr:nvSpPr>
        <xdr:cNvPr id="10" name="NavDashboard">
          <a:hlinkClick xmlns:r="http://schemas.openxmlformats.org/officeDocument/2006/relationships" r:id="rId1" tooltip="Ir para Dashboard"/>
          <a:extLst>
            <a:ext uri="{FF2B5EF4-FFF2-40B4-BE49-F238E27FC236}">
              <a16:creationId xmlns:a16="http://schemas.microsoft.com/office/drawing/2014/main" id="{65592651-E0EE-D00B-AF9B-AD91FA02E6CE}"/>
            </a:ext>
          </a:extLst>
        </xdr:cNvPr>
        <xdr:cNvSpPr/>
      </xdr:nvSpPr>
      <xdr:spPr>
        <a:xfrm>
          <a:off x="3175000" y="127000"/>
          <a:ext cx="1498600" cy="355600"/>
        </a:xfrm>
        <a:prstGeom prst="roundRect">
          <a:avLst>
            <a:gd name="adj" fmla="val 20000"/>
          </a:avLst>
        </a:prstGeom>
        <a:solidFill>
          <a:srgbClr val="334155"/>
        </a:solidFill>
        <a:ln w="19050" cap="rnd" cmpd="sng" algn="ctr">
          <a:noFill/>
          <a:prstDash val="solid"/>
        </a:ln>
        <a:effectLst/>
        <a:extLst>
          <a:ext uri="{91240B29-F687-4F45-9708-019B960494DF}">
            <a14:hiddenLine xmlns:a14="http://schemas.microsoft.com/office/drawing/2010/main" w="19050" cap="rnd"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1050" b="0">
              <a:solidFill>
                <a:srgbClr val="CBD5E1"/>
              </a:solidFill>
              <a:latin typeface="Segoe UI" panose="020B0502040204020203" pitchFamily="34" charset="0"/>
            </a:rPr>
            <a:t>Dashboard</a:t>
          </a:r>
        </a:p>
      </xdr:txBody>
    </xdr:sp>
    <xdr:clientData/>
  </xdr:twoCellAnchor>
  <xdr:twoCellAnchor editAs="absolute">
    <xdr:from>
      <xdr:col>4</xdr:col>
      <xdr:colOff>1155700</xdr:colOff>
      <xdr:row>0</xdr:row>
      <xdr:rowOff>127000</xdr:rowOff>
    </xdr:from>
    <xdr:to>
      <xdr:col>5</xdr:col>
      <xdr:colOff>473075</xdr:colOff>
      <xdr:row>2</xdr:row>
      <xdr:rowOff>82550</xdr:rowOff>
    </xdr:to>
    <xdr:sp macro="" textlink="">
      <xdr:nvSpPr>
        <xdr:cNvPr id="11" name="NavLancamentos">
          <a:extLst>
            <a:ext uri="{FF2B5EF4-FFF2-40B4-BE49-F238E27FC236}">
              <a16:creationId xmlns:a16="http://schemas.microsoft.com/office/drawing/2014/main" id="{C948A5E6-B57C-BF65-F090-A656CB7E2507}"/>
            </a:ext>
          </a:extLst>
        </xdr:cNvPr>
        <xdr:cNvSpPr/>
      </xdr:nvSpPr>
      <xdr:spPr>
        <a:xfrm>
          <a:off x="4775200" y="127000"/>
          <a:ext cx="1498600" cy="355600"/>
        </a:xfrm>
        <a:prstGeom prst="roundRect">
          <a:avLst>
            <a:gd name="adj" fmla="val 20000"/>
          </a:avLst>
        </a:prstGeom>
        <a:solidFill>
          <a:srgbClr val="2F6DB5"/>
        </a:solidFill>
        <a:ln w="19050" cap="rnd" cmpd="sng" algn="ctr">
          <a:noFill/>
          <a:prstDash val="solid"/>
        </a:ln>
        <a:effectLst/>
        <a:extLst>
          <a:ext uri="{91240B29-F687-4F45-9708-019B960494DF}">
            <a14:hiddenLine xmlns:a14="http://schemas.microsoft.com/office/drawing/2010/main" w="19050" cap="rnd"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1050" b="1">
              <a:solidFill>
                <a:srgbClr val="FFFFFF"/>
              </a:solidFill>
              <a:latin typeface="Segoe UI" panose="020B0502040204020203" pitchFamily="34" charset="0"/>
            </a:rPr>
            <a:t>Lançamentos</a:t>
          </a:r>
        </a:p>
      </xdr:txBody>
    </xdr:sp>
    <xdr:clientData/>
  </xdr:twoCellAnchor>
  <xdr:twoCellAnchor editAs="absolute">
    <xdr:from>
      <xdr:col>5</xdr:col>
      <xdr:colOff>574675</xdr:colOff>
      <xdr:row>0</xdr:row>
      <xdr:rowOff>127000</xdr:rowOff>
    </xdr:from>
    <xdr:to>
      <xdr:col>6</xdr:col>
      <xdr:colOff>806450</xdr:colOff>
      <xdr:row>2</xdr:row>
      <xdr:rowOff>82550</xdr:rowOff>
    </xdr:to>
    <xdr:sp macro="" textlink="">
      <xdr:nvSpPr>
        <xdr:cNvPr id="12" name="NavEmprestimos">
          <a:hlinkClick xmlns:r="http://schemas.openxmlformats.org/officeDocument/2006/relationships" r:id="rId2" tooltip="Ir para Empréstimos"/>
          <a:extLst>
            <a:ext uri="{FF2B5EF4-FFF2-40B4-BE49-F238E27FC236}">
              <a16:creationId xmlns:a16="http://schemas.microsoft.com/office/drawing/2014/main" id="{694899DA-ADEE-5922-244E-31D241794A71}"/>
            </a:ext>
          </a:extLst>
        </xdr:cNvPr>
        <xdr:cNvSpPr/>
      </xdr:nvSpPr>
      <xdr:spPr>
        <a:xfrm>
          <a:off x="6375400" y="127000"/>
          <a:ext cx="1498600" cy="355600"/>
        </a:xfrm>
        <a:prstGeom prst="roundRect">
          <a:avLst>
            <a:gd name="adj" fmla="val 20000"/>
          </a:avLst>
        </a:prstGeom>
        <a:solidFill>
          <a:srgbClr val="334155"/>
        </a:solidFill>
        <a:ln w="19050" cap="rnd" cmpd="sng" algn="ctr">
          <a:noFill/>
          <a:prstDash val="solid"/>
        </a:ln>
        <a:effectLst/>
        <a:extLst>
          <a:ext uri="{91240B29-F687-4F45-9708-019B960494DF}">
            <a14:hiddenLine xmlns:a14="http://schemas.microsoft.com/office/drawing/2010/main" w="19050" cap="rnd"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1050" b="0">
              <a:solidFill>
                <a:srgbClr val="CBD5E1"/>
              </a:solidFill>
              <a:latin typeface="Segoe UI" panose="020B0502040204020203" pitchFamily="34" charset="0"/>
            </a:rPr>
            <a:t>Empréstimos</a:t>
          </a:r>
        </a:p>
      </xdr:txBody>
    </xdr:sp>
    <xdr:clientData/>
  </xdr:twoCellAnchor>
  <xdr:twoCellAnchor editAs="absolute">
    <xdr:from>
      <xdr:col>7</xdr:col>
      <xdr:colOff>2409825</xdr:colOff>
      <xdr:row>0</xdr:row>
      <xdr:rowOff>127000</xdr:rowOff>
    </xdr:from>
    <xdr:to>
      <xdr:col>8</xdr:col>
      <xdr:colOff>1092200</xdr:colOff>
      <xdr:row>2</xdr:row>
      <xdr:rowOff>82550</xdr:rowOff>
    </xdr:to>
    <xdr:sp macro="AtualizaTudo" textlink="">
      <xdr:nvSpPr>
        <xdr:cNvPr id="15" name="BtnAtualizar">
          <a:extLst>
            <a:ext uri="{FF2B5EF4-FFF2-40B4-BE49-F238E27FC236}">
              <a16:creationId xmlns:a16="http://schemas.microsoft.com/office/drawing/2014/main" id="{DFCAF675-D003-A070-36CF-BA141A5D4413}"/>
            </a:ext>
          </a:extLst>
        </xdr:cNvPr>
        <xdr:cNvSpPr/>
      </xdr:nvSpPr>
      <xdr:spPr>
        <a:xfrm>
          <a:off x="10744200" y="127000"/>
          <a:ext cx="1168400" cy="355600"/>
        </a:xfrm>
        <a:prstGeom prst="roundRect">
          <a:avLst>
            <a:gd name="adj" fmla="val 20000"/>
          </a:avLst>
        </a:prstGeom>
        <a:noFill/>
        <a:ln w="9525" cap="rnd" cmpd="sng" algn="ctr">
          <a:solidFill>
            <a:srgbClr val="475569"/>
          </a:solidFill>
          <a:prstDash val="soli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950" b="0">
              <a:solidFill>
                <a:srgbClr val="CBD5E1"/>
              </a:solidFill>
              <a:latin typeface="Segoe UI" panose="020B0502040204020203" pitchFamily="34" charset="0"/>
            </a:rPr>
            <a:t>Atualizar</a:t>
          </a:r>
        </a:p>
      </xdr:txBody>
    </xdr:sp>
    <xdr:clientData/>
  </xdr:twoCellAnchor>
  <xdr:twoCellAnchor editAs="absolute">
    <xdr:from>
      <xdr:col>9</xdr:col>
      <xdr:colOff>3175</xdr:colOff>
      <xdr:row>0</xdr:row>
      <xdr:rowOff>127000</xdr:rowOff>
    </xdr:from>
    <xdr:to>
      <xdr:col>10</xdr:col>
      <xdr:colOff>171450</xdr:colOff>
      <xdr:row>2</xdr:row>
      <xdr:rowOff>82550</xdr:rowOff>
    </xdr:to>
    <xdr:sp macro="AbrirCalculadora" textlink="">
      <xdr:nvSpPr>
        <xdr:cNvPr id="26" name="BtnCalc">
          <a:extLst>
            <a:ext uri="{FF2B5EF4-FFF2-40B4-BE49-F238E27FC236}">
              <a16:creationId xmlns:a16="http://schemas.microsoft.com/office/drawing/2014/main" id="{ED46E876-B549-FCAD-6148-63637F5D9832}"/>
            </a:ext>
          </a:extLst>
        </xdr:cNvPr>
        <xdr:cNvSpPr/>
      </xdr:nvSpPr>
      <xdr:spPr>
        <a:xfrm>
          <a:off x="12014200" y="127000"/>
          <a:ext cx="1168400" cy="355600"/>
        </a:xfrm>
        <a:prstGeom prst="roundRect">
          <a:avLst>
            <a:gd name="adj" fmla="val 20000"/>
          </a:avLst>
        </a:prstGeom>
        <a:noFill/>
        <a:ln w="9525" cap="rnd" cmpd="sng" algn="ctr">
          <a:solidFill>
            <a:srgbClr val="475569"/>
          </a:solidFill>
          <a:prstDash val="soli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950" b="0">
              <a:solidFill>
                <a:srgbClr val="CBD5E1"/>
              </a:solidFill>
              <a:latin typeface="Segoe UI" panose="020B0502040204020203" pitchFamily="34" charset="0"/>
            </a:rPr>
            <a:t>Calculadora</a:t>
          </a:r>
        </a:p>
      </xdr:txBody>
    </xdr:sp>
    <xdr:clientData/>
  </xdr:twoCellAnchor>
  <xdr:twoCellAnchor editAs="absolute">
    <xdr:from>
      <xdr:col>10</xdr:col>
      <xdr:colOff>273050</xdr:colOff>
      <xdr:row>0</xdr:row>
      <xdr:rowOff>127000</xdr:rowOff>
    </xdr:from>
    <xdr:to>
      <xdr:col>10</xdr:col>
      <xdr:colOff>1390650</xdr:colOff>
      <xdr:row>2</xdr:row>
      <xdr:rowOff>82550</xdr:rowOff>
    </xdr:to>
    <xdr:sp macro="TelaCheia" textlink="">
      <xdr:nvSpPr>
        <xdr:cNvPr id="27" name="BtnTela">
          <a:extLst>
            <a:ext uri="{FF2B5EF4-FFF2-40B4-BE49-F238E27FC236}">
              <a16:creationId xmlns:a16="http://schemas.microsoft.com/office/drawing/2014/main" id="{2A67E14C-0159-F67D-EA69-34CD06A0F758}"/>
            </a:ext>
          </a:extLst>
        </xdr:cNvPr>
        <xdr:cNvSpPr/>
      </xdr:nvSpPr>
      <xdr:spPr>
        <a:xfrm>
          <a:off x="13284200" y="127000"/>
          <a:ext cx="1117600" cy="355600"/>
        </a:xfrm>
        <a:prstGeom prst="roundRect">
          <a:avLst>
            <a:gd name="adj" fmla="val 20000"/>
          </a:avLst>
        </a:prstGeom>
        <a:noFill/>
        <a:ln w="9525" cap="rnd" cmpd="sng" algn="ctr">
          <a:solidFill>
            <a:srgbClr val="475569"/>
          </a:solidFill>
          <a:prstDash val="soli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950" b="0">
              <a:solidFill>
                <a:srgbClr val="CBD5E1"/>
              </a:solidFill>
              <a:latin typeface="Segoe UI" panose="020B0502040204020203" pitchFamily="34" charset="0"/>
            </a:rPr>
            <a:t>Tela cheia</a:t>
          </a:r>
        </a:p>
      </xdr:txBody>
    </xdr:sp>
    <xdr:clientData/>
  </xdr:twoCellAnchor>
  <xdr:twoCellAnchor editAs="absolute">
    <xdr:from>
      <xdr:col>10</xdr:col>
      <xdr:colOff>1492250</xdr:colOff>
      <xdr:row>0</xdr:row>
      <xdr:rowOff>127000</xdr:rowOff>
    </xdr:from>
    <xdr:to>
      <xdr:col>11</xdr:col>
      <xdr:colOff>479425</xdr:colOff>
      <xdr:row>2</xdr:row>
      <xdr:rowOff>82550</xdr:rowOff>
    </xdr:to>
    <xdr:sp macro="VoltarNormal" textlink="">
      <xdr:nvSpPr>
        <xdr:cNvPr id="28" name="BtnSair">
          <a:extLst>
            <a:ext uri="{FF2B5EF4-FFF2-40B4-BE49-F238E27FC236}">
              <a16:creationId xmlns:a16="http://schemas.microsoft.com/office/drawing/2014/main" id="{1442902A-FA99-4D2C-4D50-4D8F5A737E04}"/>
            </a:ext>
          </a:extLst>
        </xdr:cNvPr>
        <xdr:cNvSpPr/>
      </xdr:nvSpPr>
      <xdr:spPr>
        <a:xfrm>
          <a:off x="14503400" y="127000"/>
          <a:ext cx="1320800" cy="355600"/>
        </a:xfrm>
        <a:prstGeom prst="roundRect">
          <a:avLst>
            <a:gd name="adj" fmla="val 20000"/>
          </a:avLst>
        </a:prstGeom>
        <a:noFill/>
        <a:ln w="9525" cap="rnd" cmpd="sng" algn="ctr">
          <a:solidFill>
            <a:srgbClr val="475569"/>
          </a:solidFill>
          <a:prstDash val="soli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950" b="0">
              <a:solidFill>
                <a:srgbClr val="CBD5E1"/>
              </a:solidFill>
              <a:latin typeface="Segoe UI" panose="020B0502040204020203" pitchFamily="34" charset="0"/>
            </a:rPr>
            <a:t>Sair tela cheia</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0</xdr:colOff>
      <xdr:row>3</xdr:row>
      <xdr:rowOff>9525</xdr:rowOff>
    </xdr:to>
    <xdr:sp macro="" textlink="">
      <xdr:nvSpPr>
        <xdr:cNvPr id="15" name="TopBar">
          <a:extLst>
            <a:ext uri="{FF2B5EF4-FFF2-40B4-BE49-F238E27FC236}">
              <a16:creationId xmlns:a16="http://schemas.microsoft.com/office/drawing/2014/main" id="{323EFCEE-6777-A445-46DE-E509429CAEEC}"/>
            </a:ext>
          </a:extLst>
        </xdr:cNvPr>
        <xdr:cNvSpPr/>
      </xdr:nvSpPr>
      <xdr:spPr>
        <a:xfrm>
          <a:off x="0" y="0"/>
          <a:ext cx="15335250" cy="609600"/>
        </a:xfrm>
        <a:prstGeom prst="rect">
          <a:avLst/>
        </a:prstGeom>
        <a:solidFill>
          <a:srgbClr val="1E293B"/>
        </a:solidFill>
        <a:ln w="19050" cap="rnd" cmpd="sng" algn="ctr">
          <a:noFill/>
          <a:prstDash val="solid"/>
        </a:ln>
        <a:effectLst/>
        <a:extLst>
          <a:ext uri="{91240B29-F687-4F45-9708-019B960494DF}">
            <a14:hiddenLine xmlns:a14="http://schemas.microsoft.com/office/drawing/2010/main" w="19050" cap="rnd"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xdr:col>
      <xdr:colOff>53975</xdr:colOff>
      <xdr:row>0</xdr:row>
      <xdr:rowOff>0</xdr:rowOff>
    </xdr:from>
    <xdr:to>
      <xdr:col>2</xdr:col>
      <xdr:colOff>2139950</xdr:colOff>
      <xdr:row>3</xdr:row>
      <xdr:rowOff>9525</xdr:rowOff>
    </xdr:to>
    <xdr:sp macro="" textlink="">
      <xdr:nvSpPr>
        <xdr:cNvPr id="16" name="AppTitle">
          <a:extLst>
            <a:ext uri="{FF2B5EF4-FFF2-40B4-BE49-F238E27FC236}">
              <a16:creationId xmlns:a16="http://schemas.microsoft.com/office/drawing/2014/main" id="{3B04A6AB-F1B2-C2A2-DA69-9C0B6763A433}"/>
            </a:ext>
          </a:extLst>
        </xdr:cNvPr>
        <xdr:cNvSpPr txBox="1"/>
      </xdr:nvSpPr>
      <xdr:spPr>
        <a:xfrm>
          <a:off x="254000" y="0"/>
          <a:ext cx="3810000" cy="609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l"/>
          <a:r>
            <a:rPr lang="pt-BR" sz="1500" b="1">
              <a:solidFill>
                <a:srgbClr val="FFFFFF"/>
              </a:solidFill>
              <a:latin typeface="Segoe UI Semibold" panose="020B0702040204020203" pitchFamily="34" charset="0"/>
            </a:rPr>
            <a:t>Controle Financeiro</a:t>
          </a:r>
        </a:p>
      </xdr:txBody>
    </xdr:sp>
    <xdr:clientData/>
  </xdr:twoCellAnchor>
  <xdr:twoCellAnchor editAs="absolute">
    <xdr:from>
      <xdr:col>2</xdr:col>
      <xdr:colOff>1250950</xdr:colOff>
      <xdr:row>0</xdr:row>
      <xdr:rowOff>127000</xdr:rowOff>
    </xdr:from>
    <xdr:to>
      <xdr:col>3</xdr:col>
      <xdr:colOff>415925</xdr:colOff>
      <xdr:row>2</xdr:row>
      <xdr:rowOff>82550</xdr:rowOff>
    </xdr:to>
    <xdr:sp macro="" textlink="">
      <xdr:nvSpPr>
        <xdr:cNvPr id="17" name="NavDashboard">
          <a:hlinkClick xmlns:r="http://schemas.openxmlformats.org/officeDocument/2006/relationships" r:id="rId1" tooltip="Ir para Dashboard"/>
          <a:extLst>
            <a:ext uri="{FF2B5EF4-FFF2-40B4-BE49-F238E27FC236}">
              <a16:creationId xmlns:a16="http://schemas.microsoft.com/office/drawing/2014/main" id="{F640860C-773D-AFAA-DDCE-22ECF1A4518C}"/>
            </a:ext>
          </a:extLst>
        </xdr:cNvPr>
        <xdr:cNvSpPr/>
      </xdr:nvSpPr>
      <xdr:spPr>
        <a:xfrm>
          <a:off x="3175000" y="127000"/>
          <a:ext cx="1498600" cy="355600"/>
        </a:xfrm>
        <a:prstGeom prst="roundRect">
          <a:avLst>
            <a:gd name="adj" fmla="val 20000"/>
          </a:avLst>
        </a:prstGeom>
        <a:solidFill>
          <a:srgbClr val="334155"/>
        </a:solidFill>
        <a:ln w="19050" cap="rnd" cmpd="sng" algn="ctr">
          <a:noFill/>
          <a:prstDash val="solid"/>
        </a:ln>
        <a:effectLst/>
        <a:extLst>
          <a:ext uri="{91240B29-F687-4F45-9708-019B960494DF}">
            <a14:hiddenLine xmlns:a14="http://schemas.microsoft.com/office/drawing/2010/main" w="19050" cap="rnd"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1050" b="0">
              <a:solidFill>
                <a:srgbClr val="CBD5E1"/>
              </a:solidFill>
              <a:latin typeface="Segoe UI" panose="020B0502040204020203" pitchFamily="34" charset="0"/>
            </a:rPr>
            <a:t>Dashboard</a:t>
          </a:r>
        </a:p>
      </xdr:txBody>
    </xdr:sp>
    <xdr:clientData/>
  </xdr:twoCellAnchor>
  <xdr:twoCellAnchor editAs="absolute">
    <xdr:from>
      <xdr:col>3</xdr:col>
      <xdr:colOff>517525</xdr:colOff>
      <xdr:row>0</xdr:row>
      <xdr:rowOff>127000</xdr:rowOff>
    </xdr:from>
    <xdr:to>
      <xdr:col>3</xdr:col>
      <xdr:colOff>2016125</xdr:colOff>
      <xdr:row>2</xdr:row>
      <xdr:rowOff>82550</xdr:rowOff>
    </xdr:to>
    <xdr:sp macro="" textlink="">
      <xdr:nvSpPr>
        <xdr:cNvPr id="18" name="NavLancamentos">
          <a:hlinkClick xmlns:r="http://schemas.openxmlformats.org/officeDocument/2006/relationships" r:id="rId2" tooltip="Ir para Lançamentos"/>
          <a:extLst>
            <a:ext uri="{FF2B5EF4-FFF2-40B4-BE49-F238E27FC236}">
              <a16:creationId xmlns:a16="http://schemas.microsoft.com/office/drawing/2014/main" id="{E45A2F2B-00EC-8AB0-7C23-7F7F5244CB16}"/>
            </a:ext>
          </a:extLst>
        </xdr:cNvPr>
        <xdr:cNvSpPr/>
      </xdr:nvSpPr>
      <xdr:spPr>
        <a:xfrm>
          <a:off x="4775200" y="127000"/>
          <a:ext cx="1498600" cy="355600"/>
        </a:xfrm>
        <a:prstGeom prst="roundRect">
          <a:avLst>
            <a:gd name="adj" fmla="val 20000"/>
          </a:avLst>
        </a:prstGeom>
        <a:solidFill>
          <a:srgbClr val="334155"/>
        </a:solidFill>
        <a:ln w="19050" cap="rnd" cmpd="sng" algn="ctr">
          <a:noFill/>
          <a:prstDash val="solid"/>
        </a:ln>
        <a:effectLst/>
        <a:extLst>
          <a:ext uri="{91240B29-F687-4F45-9708-019B960494DF}">
            <a14:hiddenLine xmlns:a14="http://schemas.microsoft.com/office/drawing/2010/main" w="19050" cap="rnd"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1050" b="0">
              <a:solidFill>
                <a:srgbClr val="CBD5E1"/>
              </a:solidFill>
              <a:latin typeface="Segoe UI" panose="020B0502040204020203" pitchFamily="34" charset="0"/>
            </a:rPr>
            <a:t>Lançamentos</a:t>
          </a:r>
        </a:p>
      </xdr:txBody>
    </xdr:sp>
    <xdr:clientData/>
  </xdr:twoCellAnchor>
  <xdr:twoCellAnchor editAs="absolute">
    <xdr:from>
      <xdr:col>3</xdr:col>
      <xdr:colOff>2117725</xdr:colOff>
      <xdr:row>0</xdr:row>
      <xdr:rowOff>127000</xdr:rowOff>
    </xdr:from>
    <xdr:to>
      <xdr:col>4</xdr:col>
      <xdr:colOff>1282700</xdr:colOff>
      <xdr:row>2</xdr:row>
      <xdr:rowOff>82550</xdr:rowOff>
    </xdr:to>
    <xdr:sp macro="" textlink="">
      <xdr:nvSpPr>
        <xdr:cNvPr id="19" name="NavEmprestimos">
          <a:extLst>
            <a:ext uri="{FF2B5EF4-FFF2-40B4-BE49-F238E27FC236}">
              <a16:creationId xmlns:a16="http://schemas.microsoft.com/office/drawing/2014/main" id="{FC0910C2-DC33-F43F-99BF-393BEA4FB3A0}"/>
            </a:ext>
          </a:extLst>
        </xdr:cNvPr>
        <xdr:cNvSpPr/>
      </xdr:nvSpPr>
      <xdr:spPr>
        <a:xfrm>
          <a:off x="6375400" y="127000"/>
          <a:ext cx="1498600" cy="355600"/>
        </a:xfrm>
        <a:prstGeom prst="roundRect">
          <a:avLst>
            <a:gd name="adj" fmla="val 20000"/>
          </a:avLst>
        </a:prstGeom>
        <a:solidFill>
          <a:srgbClr val="2F6DB5"/>
        </a:solidFill>
        <a:ln w="19050" cap="rnd" cmpd="sng" algn="ctr">
          <a:noFill/>
          <a:prstDash val="solid"/>
        </a:ln>
        <a:effectLst/>
        <a:extLst>
          <a:ext uri="{91240B29-F687-4F45-9708-019B960494DF}">
            <a14:hiddenLine xmlns:a14="http://schemas.microsoft.com/office/drawing/2010/main" w="19050" cap="rnd"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1050" b="1">
              <a:solidFill>
                <a:srgbClr val="FFFFFF"/>
              </a:solidFill>
              <a:latin typeface="Segoe UI" panose="020B0502040204020203" pitchFamily="34" charset="0"/>
            </a:rPr>
            <a:t>Empréstimos</a:t>
          </a:r>
        </a:p>
      </xdr:txBody>
    </xdr:sp>
    <xdr:clientData/>
  </xdr:twoCellAnchor>
  <xdr:twoCellAnchor editAs="absolute">
    <xdr:from>
      <xdr:col>6</xdr:col>
      <xdr:colOff>723900</xdr:colOff>
      <xdr:row>0</xdr:row>
      <xdr:rowOff>127000</xdr:rowOff>
    </xdr:from>
    <xdr:to>
      <xdr:col>7</xdr:col>
      <xdr:colOff>320675</xdr:colOff>
      <xdr:row>2</xdr:row>
      <xdr:rowOff>82550</xdr:rowOff>
    </xdr:to>
    <xdr:sp macro="AtualizaTudo" textlink="">
      <xdr:nvSpPr>
        <xdr:cNvPr id="20" name="BtnAtualizar">
          <a:extLst>
            <a:ext uri="{FF2B5EF4-FFF2-40B4-BE49-F238E27FC236}">
              <a16:creationId xmlns:a16="http://schemas.microsoft.com/office/drawing/2014/main" id="{1C5437B1-B6F3-3714-77AC-651657CD3B32}"/>
            </a:ext>
          </a:extLst>
        </xdr:cNvPr>
        <xdr:cNvSpPr/>
      </xdr:nvSpPr>
      <xdr:spPr>
        <a:xfrm>
          <a:off x="10001250" y="127000"/>
          <a:ext cx="1168400" cy="355600"/>
        </a:xfrm>
        <a:prstGeom prst="roundRect">
          <a:avLst>
            <a:gd name="adj" fmla="val 20000"/>
          </a:avLst>
        </a:prstGeom>
        <a:noFill/>
        <a:ln w="9525" cap="rnd" cmpd="sng" algn="ctr">
          <a:solidFill>
            <a:srgbClr val="475569"/>
          </a:solidFill>
          <a:prstDash val="soli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950" b="0">
              <a:solidFill>
                <a:srgbClr val="CBD5E1"/>
              </a:solidFill>
              <a:latin typeface="Segoe UI" panose="020B0502040204020203" pitchFamily="34" charset="0"/>
            </a:rPr>
            <a:t>Atualizar</a:t>
          </a:r>
        </a:p>
      </xdr:txBody>
    </xdr:sp>
    <xdr:clientData/>
  </xdr:twoCellAnchor>
  <xdr:twoCellAnchor editAs="absolute">
    <xdr:from>
      <xdr:col>7</xdr:col>
      <xdr:colOff>422275</xdr:colOff>
      <xdr:row>0</xdr:row>
      <xdr:rowOff>127000</xdr:rowOff>
    </xdr:from>
    <xdr:to>
      <xdr:col>8</xdr:col>
      <xdr:colOff>19050</xdr:colOff>
      <xdr:row>2</xdr:row>
      <xdr:rowOff>82550</xdr:rowOff>
    </xdr:to>
    <xdr:sp macro="AbrirCalculadora" textlink="">
      <xdr:nvSpPr>
        <xdr:cNvPr id="21" name="BtnCalc">
          <a:extLst>
            <a:ext uri="{FF2B5EF4-FFF2-40B4-BE49-F238E27FC236}">
              <a16:creationId xmlns:a16="http://schemas.microsoft.com/office/drawing/2014/main" id="{7B48E543-D3EF-FEDC-64D5-17B0B760BBB9}"/>
            </a:ext>
          </a:extLst>
        </xdr:cNvPr>
        <xdr:cNvSpPr/>
      </xdr:nvSpPr>
      <xdr:spPr>
        <a:xfrm>
          <a:off x="11271250" y="127000"/>
          <a:ext cx="1168400" cy="355600"/>
        </a:xfrm>
        <a:prstGeom prst="roundRect">
          <a:avLst>
            <a:gd name="adj" fmla="val 20000"/>
          </a:avLst>
        </a:prstGeom>
        <a:noFill/>
        <a:ln w="9525" cap="rnd" cmpd="sng" algn="ctr">
          <a:solidFill>
            <a:srgbClr val="475569"/>
          </a:solidFill>
          <a:prstDash val="soli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950" b="0">
              <a:solidFill>
                <a:srgbClr val="CBD5E1"/>
              </a:solidFill>
              <a:latin typeface="Segoe UI" panose="020B0502040204020203" pitchFamily="34" charset="0"/>
            </a:rPr>
            <a:t>Calculadora</a:t>
          </a:r>
        </a:p>
      </xdr:txBody>
    </xdr:sp>
    <xdr:clientData/>
  </xdr:twoCellAnchor>
  <xdr:twoCellAnchor editAs="absolute">
    <xdr:from>
      <xdr:col>8</xdr:col>
      <xdr:colOff>120650</xdr:colOff>
      <xdr:row>0</xdr:row>
      <xdr:rowOff>127000</xdr:rowOff>
    </xdr:from>
    <xdr:to>
      <xdr:col>8</xdr:col>
      <xdr:colOff>1238250</xdr:colOff>
      <xdr:row>2</xdr:row>
      <xdr:rowOff>82550</xdr:rowOff>
    </xdr:to>
    <xdr:sp macro="TelaCheia" textlink="">
      <xdr:nvSpPr>
        <xdr:cNvPr id="22" name="BtnTela">
          <a:extLst>
            <a:ext uri="{FF2B5EF4-FFF2-40B4-BE49-F238E27FC236}">
              <a16:creationId xmlns:a16="http://schemas.microsoft.com/office/drawing/2014/main" id="{BE4A6AA9-70B4-6C81-C401-1B2AFE296B5C}"/>
            </a:ext>
          </a:extLst>
        </xdr:cNvPr>
        <xdr:cNvSpPr/>
      </xdr:nvSpPr>
      <xdr:spPr>
        <a:xfrm>
          <a:off x="12541250" y="127000"/>
          <a:ext cx="1117600" cy="355600"/>
        </a:xfrm>
        <a:prstGeom prst="roundRect">
          <a:avLst>
            <a:gd name="adj" fmla="val 20000"/>
          </a:avLst>
        </a:prstGeom>
        <a:noFill/>
        <a:ln w="9525" cap="rnd" cmpd="sng" algn="ctr">
          <a:solidFill>
            <a:srgbClr val="475569"/>
          </a:solidFill>
          <a:prstDash val="soli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950" b="0">
              <a:solidFill>
                <a:srgbClr val="CBD5E1"/>
              </a:solidFill>
              <a:latin typeface="Segoe UI" panose="020B0502040204020203" pitchFamily="34" charset="0"/>
            </a:rPr>
            <a:t>Tela cheia</a:t>
          </a:r>
        </a:p>
      </xdr:txBody>
    </xdr:sp>
    <xdr:clientData/>
  </xdr:twoCellAnchor>
  <xdr:twoCellAnchor editAs="absolute">
    <xdr:from>
      <xdr:col>8</xdr:col>
      <xdr:colOff>1339850</xdr:colOff>
      <xdr:row>0</xdr:row>
      <xdr:rowOff>127000</xdr:rowOff>
    </xdr:from>
    <xdr:to>
      <xdr:col>9</xdr:col>
      <xdr:colOff>22225</xdr:colOff>
      <xdr:row>2</xdr:row>
      <xdr:rowOff>82550</xdr:rowOff>
    </xdr:to>
    <xdr:sp macro="VoltarNormal" textlink="">
      <xdr:nvSpPr>
        <xdr:cNvPr id="23" name="BtnSair">
          <a:extLst>
            <a:ext uri="{FF2B5EF4-FFF2-40B4-BE49-F238E27FC236}">
              <a16:creationId xmlns:a16="http://schemas.microsoft.com/office/drawing/2014/main" id="{DAAE823E-6596-D053-1DE1-3EEB56EB3A1A}"/>
            </a:ext>
          </a:extLst>
        </xdr:cNvPr>
        <xdr:cNvSpPr/>
      </xdr:nvSpPr>
      <xdr:spPr>
        <a:xfrm>
          <a:off x="13760450" y="127000"/>
          <a:ext cx="1320800" cy="355600"/>
        </a:xfrm>
        <a:prstGeom prst="roundRect">
          <a:avLst>
            <a:gd name="adj" fmla="val 20000"/>
          </a:avLst>
        </a:prstGeom>
        <a:noFill/>
        <a:ln w="9525" cap="rnd" cmpd="sng" algn="ctr">
          <a:solidFill>
            <a:srgbClr val="475569"/>
          </a:solidFill>
          <a:prstDash val="soli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pt-BR" sz="950" b="0">
              <a:solidFill>
                <a:srgbClr val="CBD5E1"/>
              </a:solidFill>
              <a:latin typeface="Segoe UI" panose="020B0502040204020203" pitchFamily="34" charset="0"/>
            </a:rPr>
            <a:t>Sair tela cheia</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2</xdr:row>
          <xdr:rowOff>123825</xdr:rowOff>
        </xdr:from>
        <xdr:to>
          <xdr:col>3</xdr:col>
          <xdr:colOff>361950</xdr:colOff>
          <xdr:row>3</xdr:row>
          <xdr:rowOff>104775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8000"/>
                  </a:solidFill>
                  <a:latin typeface="Aptos Narrow"/>
                </a:rPr>
                <a:t>ATUALIZAR BD</a:t>
              </a:r>
            </a:p>
          </xdr:txBody>
        </xdr:sp>
        <xdr:clientData fPrintsWithSheet="0"/>
      </xdr:twoCellAnchor>
    </mc:Choice>
    <mc:Fallback/>
  </mc:AlternateContent>
  <xdr:twoCellAnchor>
    <xdr:from>
      <xdr:col>11</xdr:col>
      <xdr:colOff>311150</xdr:colOff>
      <xdr:row>1</xdr:row>
      <xdr:rowOff>127000</xdr:rowOff>
    </xdr:from>
    <xdr:to>
      <xdr:col>15</xdr:col>
      <xdr:colOff>0</xdr:colOff>
      <xdr:row>2</xdr:row>
      <xdr:rowOff>12700</xdr:rowOff>
    </xdr:to>
    <xdr:grpSp>
      <xdr:nvGrpSpPr>
        <xdr:cNvPr id="2" name="Agrupar 1">
          <a:extLst>
            <a:ext uri="{FF2B5EF4-FFF2-40B4-BE49-F238E27FC236}">
              <a16:creationId xmlns:a16="http://schemas.microsoft.com/office/drawing/2014/main" id="{82017187-56FA-47F3-8CF6-25CC9252EAAB}"/>
            </a:ext>
          </a:extLst>
        </xdr:cNvPr>
        <xdr:cNvGrpSpPr/>
      </xdr:nvGrpSpPr>
      <xdr:grpSpPr>
        <a:xfrm>
          <a:off x="13657356" y="339912"/>
          <a:ext cx="5403850" cy="636494"/>
          <a:chOff x="7251700" y="298450"/>
          <a:chExt cx="1898650" cy="615950"/>
        </a:xfrm>
      </xdr:grpSpPr>
      <xdr:sp macro="" textlink="">
        <xdr:nvSpPr>
          <xdr:cNvPr id="3" name="Retângulo: Cantos Arredondados 2">
            <a:extLst>
              <a:ext uri="{FF2B5EF4-FFF2-40B4-BE49-F238E27FC236}">
                <a16:creationId xmlns:a16="http://schemas.microsoft.com/office/drawing/2014/main" id="{6C848487-0EB3-239C-DB4D-9A040398E4CA}"/>
              </a:ext>
            </a:extLst>
          </xdr:cNvPr>
          <xdr:cNvSpPr/>
        </xdr:nvSpPr>
        <xdr:spPr>
          <a:xfrm>
            <a:off x="7251700" y="298450"/>
            <a:ext cx="1898650" cy="6159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b="1" cap="none" spc="50">
              <a:ln w="0"/>
              <a:solidFill>
                <a:schemeClr val="bg2"/>
              </a:solidFill>
              <a:effectLst>
                <a:innerShdw blurRad="63500" dist="50800" dir="13500000">
                  <a:srgbClr val="000000">
                    <a:alpha val="50000"/>
                  </a:srgbClr>
                </a:innerShdw>
              </a:effectLst>
            </a:endParaRPr>
          </a:p>
        </xdr:txBody>
      </xdr:sp>
      <xdr:sp macro="[0]!Ir_Dashboard" textlink="">
        <xdr:nvSpPr>
          <xdr:cNvPr id="4" name="Retângulo 3">
            <a:extLst>
              <a:ext uri="{FF2B5EF4-FFF2-40B4-BE49-F238E27FC236}">
                <a16:creationId xmlns:a16="http://schemas.microsoft.com/office/drawing/2014/main" id="{DBD3B7D3-5687-EC2E-59C7-FBD584770FF4}"/>
              </a:ext>
            </a:extLst>
          </xdr:cNvPr>
          <xdr:cNvSpPr/>
        </xdr:nvSpPr>
        <xdr:spPr>
          <a:xfrm>
            <a:off x="7404401" y="367494"/>
            <a:ext cx="1612301" cy="406843"/>
          </a:xfrm>
          <a:prstGeom prst="rect">
            <a:avLst/>
          </a:prstGeom>
          <a:noFill/>
        </xdr:spPr>
        <xdr:txBody>
          <a:bodyPr wrap="none" lIns="91440" tIns="45720" rIns="91440" bIns="45720">
            <a:spAutoFit/>
          </a:bodyPr>
          <a:lstStyle/>
          <a:p>
            <a:pPr algn="ctr"/>
            <a:r>
              <a:rPr lang="pt-BR" sz="2000" b="1" cap="none" spc="50">
                <a:ln w="0"/>
                <a:solidFill>
                  <a:schemeClr val="bg2"/>
                </a:solidFill>
                <a:effectLst>
                  <a:innerShdw blurRad="63500" dist="50800" dir="13500000">
                    <a:srgbClr val="000000">
                      <a:alpha val="50000"/>
                    </a:srgbClr>
                  </a:innerShdw>
                </a:effectLst>
              </a:rPr>
              <a:t>Dashboard</a:t>
            </a:r>
          </a:p>
        </xdr:txBody>
      </xdr:sp>
    </xdr:grpSp>
    <xdr:clientData/>
  </xdr:twoCellAnchor>
  <xdr:twoCellAnchor>
    <xdr:from>
      <xdr:col>15</xdr:col>
      <xdr:colOff>2570</xdr:colOff>
      <xdr:row>1</xdr:row>
      <xdr:rowOff>88900</xdr:rowOff>
    </xdr:from>
    <xdr:to>
      <xdr:col>17</xdr:col>
      <xdr:colOff>283187</xdr:colOff>
      <xdr:row>2</xdr:row>
      <xdr:rowOff>0</xdr:rowOff>
    </xdr:to>
    <xdr:grpSp>
      <xdr:nvGrpSpPr>
        <xdr:cNvPr id="5" name="Agrupar 4">
          <a:extLst>
            <a:ext uri="{FF2B5EF4-FFF2-40B4-BE49-F238E27FC236}">
              <a16:creationId xmlns:a16="http://schemas.microsoft.com/office/drawing/2014/main" id="{46FBBEC0-6B80-4B8A-BCC8-4A706DA98C8B}"/>
            </a:ext>
          </a:extLst>
        </xdr:cNvPr>
        <xdr:cNvGrpSpPr/>
      </xdr:nvGrpSpPr>
      <xdr:grpSpPr>
        <a:xfrm>
          <a:off x="19063776" y="301812"/>
          <a:ext cx="3754440" cy="661894"/>
          <a:chOff x="9248170" y="260350"/>
          <a:chExt cx="1937967" cy="615950"/>
        </a:xfrm>
      </xdr:grpSpPr>
      <xdr:sp macro="" textlink="">
        <xdr:nvSpPr>
          <xdr:cNvPr id="6" name="Retângulo: Cantos Arredondados 5">
            <a:extLst>
              <a:ext uri="{FF2B5EF4-FFF2-40B4-BE49-F238E27FC236}">
                <a16:creationId xmlns:a16="http://schemas.microsoft.com/office/drawing/2014/main" id="{D0BC7D3D-4FF1-4283-1828-DA569FC5FBBC}"/>
              </a:ext>
            </a:extLst>
          </xdr:cNvPr>
          <xdr:cNvSpPr/>
        </xdr:nvSpPr>
        <xdr:spPr>
          <a:xfrm>
            <a:off x="9258300" y="260350"/>
            <a:ext cx="1898650" cy="615950"/>
          </a:xfrm>
          <a:prstGeom prst="round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b="1" cap="none" spc="50">
              <a:ln w="0"/>
              <a:solidFill>
                <a:schemeClr val="bg2"/>
              </a:solidFill>
              <a:effectLst>
                <a:innerShdw blurRad="63500" dist="50800" dir="13500000">
                  <a:srgbClr val="000000">
                    <a:alpha val="50000"/>
                  </a:srgbClr>
                </a:innerShdw>
              </a:effectLst>
            </a:endParaRPr>
          </a:p>
        </xdr:txBody>
      </xdr:sp>
      <xdr:sp macro="[0]!Ir_Lancamentos" textlink="">
        <xdr:nvSpPr>
          <xdr:cNvPr id="7" name="Retângulo 6">
            <a:extLst>
              <a:ext uri="{FF2B5EF4-FFF2-40B4-BE49-F238E27FC236}">
                <a16:creationId xmlns:a16="http://schemas.microsoft.com/office/drawing/2014/main" id="{A9279060-042F-5693-125B-FF8331ED7272}"/>
              </a:ext>
            </a:extLst>
          </xdr:cNvPr>
          <xdr:cNvSpPr/>
        </xdr:nvSpPr>
        <xdr:spPr>
          <a:xfrm>
            <a:off x="9248170" y="329394"/>
            <a:ext cx="1937967" cy="406843"/>
          </a:xfrm>
          <a:prstGeom prst="rect">
            <a:avLst/>
          </a:prstGeom>
          <a:noFill/>
        </xdr:spPr>
        <xdr:txBody>
          <a:bodyPr wrap="none" lIns="91440" tIns="45720" rIns="91440" bIns="45720">
            <a:spAutoFit/>
          </a:bodyPr>
          <a:lstStyle/>
          <a:p>
            <a:pPr algn="ctr"/>
            <a:r>
              <a:rPr lang="pt-BR" sz="2000" b="1" cap="none" spc="50">
                <a:ln w="0"/>
                <a:solidFill>
                  <a:schemeClr val="bg2"/>
                </a:solidFill>
                <a:effectLst>
                  <a:innerShdw blurRad="63500" dist="50800" dir="13500000">
                    <a:srgbClr val="000000">
                      <a:alpha val="50000"/>
                    </a:srgbClr>
                  </a:innerShdw>
                </a:effectLst>
              </a:rPr>
              <a:t>Lançamentos</a:t>
            </a:r>
          </a:p>
        </xdr:txBody>
      </xdr:sp>
    </xdr:grpSp>
    <xdr:clientData/>
  </xdr:twoCellAnchor>
  <xdr:twoCellAnchor>
    <xdr:from>
      <xdr:col>0</xdr:col>
      <xdr:colOff>63500</xdr:colOff>
      <xdr:row>1</xdr:row>
      <xdr:rowOff>679450</xdr:rowOff>
    </xdr:from>
    <xdr:to>
      <xdr:col>37</xdr:col>
      <xdr:colOff>609600</xdr:colOff>
      <xdr:row>2</xdr:row>
      <xdr:rowOff>57150</xdr:rowOff>
    </xdr:to>
    <xdr:sp macro="" textlink="">
      <xdr:nvSpPr>
        <xdr:cNvPr id="8" name="Retângulo 7">
          <a:extLst>
            <a:ext uri="{FF2B5EF4-FFF2-40B4-BE49-F238E27FC236}">
              <a16:creationId xmlns:a16="http://schemas.microsoft.com/office/drawing/2014/main" id="{C716F445-4C10-461E-9A17-1231FD238674}"/>
            </a:ext>
          </a:extLst>
        </xdr:cNvPr>
        <xdr:cNvSpPr/>
      </xdr:nvSpPr>
      <xdr:spPr>
        <a:xfrm>
          <a:off x="63500" y="850900"/>
          <a:ext cx="22015450" cy="10795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36</xdr:col>
      <xdr:colOff>171450</xdr:colOff>
      <xdr:row>1</xdr:row>
      <xdr:rowOff>169592</xdr:rowOff>
    </xdr:from>
    <xdr:to>
      <xdr:col>37</xdr:col>
      <xdr:colOff>12700</xdr:colOff>
      <xdr:row>1</xdr:row>
      <xdr:rowOff>171449</xdr:rowOff>
    </xdr:to>
    <xdr:grpSp>
      <xdr:nvGrpSpPr>
        <xdr:cNvPr id="9" name="Agrupar 8">
          <a:extLst>
            <a:ext uri="{FF2B5EF4-FFF2-40B4-BE49-F238E27FC236}">
              <a16:creationId xmlns:a16="http://schemas.microsoft.com/office/drawing/2014/main" id="{2790AEDA-FF37-459C-92F4-F41D51AC7738}"/>
            </a:ext>
          </a:extLst>
        </xdr:cNvPr>
        <xdr:cNvGrpSpPr/>
      </xdr:nvGrpSpPr>
      <xdr:grpSpPr>
        <a:xfrm>
          <a:off x="44994979" y="382504"/>
          <a:ext cx="1253192" cy="1857"/>
          <a:chOff x="11290300" y="273050"/>
          <a:chExt cx="673100" cy="615950"/>
        </a:xfrm>
      </xdr:grpSpPr>
      <xdr:sp macro="[0]!TelaCheia" textlink="">
        <xdr:nvSpPr>
          <xdr:cNvPr id="10" name="Retângulo: Cantos Arredondados 9">
            <a:extLst>
              <a:ext uri="{FF2B5EF4-FFF2-40B4-BE49-F238E27FC236}">
                <a16:creationId xmlns:a16="http://schemas.microsoft.com/office/drawing/2014/main" id="{52A81547-38AD-0329-4E7E-8EC89382D002}"/>
              </a:ext>
            </a:extLst>
          </xdr:cNvPr>
          <xdr:cNvSpPr/>
        </xdr:nvSpPr>
        <xdr:spPr>
          <a:xfrm>
            <a:off x="11290300" y="273050"/>
            <a:ext cx="673100" cy="615950"/>
          </a:xfrm>
          <a:prstGeom prst="round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b="1" cap="none" spc="50">
              <a:ln w="0"/>
              <a:solidFill>
                <a:schemeClr val="bg2"/>
              </a:solidFill>
              <a:effectLst>
                <a:innerShdw blurRad="63500" dist="50800" dir="13500000">
                  <a:srgbClr val="000000">
                    <a:alpha val="50000"/>
                  </a:srgbClr>
                </a:innerShdw>
              </a:effectLst>
            </a:endParaRPr>
          </a:p>
        </xdr:txBody>
      </xdr:sp>
      <xdr:pic macro="[0]!TelaCheia">
        <xdr:nvPicPr>
          <xdr:cNvPr id="11" name="Gráfico 10" descr="Maximizar com preenchimento sólido">
            <a:extLst>
              <a:ext uri="{FF2B5EF4-FFF2-40B4-BE49-F238E27FC236}">
                <a16:creationId xmlns:a16="http://schemas.microsoft.com/office/drawing/2014/main" id="{D9F18D4B-F357-AB07-72F3-88E23BE5B11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360150" y="311150"/>
            <a:ext cx="501650" cy="501650"/>
          </a:xfrm>
          <a:prstGeom prst="rect">
            <a:avLst/>
          </a:prstGeom>
        </xdr:spPr>
      </xdr:pic>
    </xdr:grpSp>
    <xdr:clientData/>
  </xdr:twoCellAnchor>
  <xdr:twoCellAnchor>
    <xdr:from>
      <xdr:col>19</xdr:col>
      <xdr:colOff>984250</xdr:colOff>
      <xdr:row>1</xdr:row>
      <xdr:rowOff>197149</xdr:rowOff>
    </xdr:from>
    <xdr:to>
      <xdr:col>20</xdr:col>
      <xdr:colOff>6350</xdr:colOff>
      <xdr:row>1</xdr:row>
      <xdr:rowOff>698500</xdr:rowOff>
    </xdr:to>
    <xdr:grpSp>
      <xdr:nvGrpSpPr>
        <xdr:cNvPr id="12" name="Agrupar 11">
          <a:extLst>
            <a:ext uri="{FF2B5EF4-FFF2-40B4-BE49-F238E27FC236}">
              <a16:creationId xmlns:a16="http://schemas.microsoft.com/office/drawing/2014/main" id="{A512383D-0AA3-4E07-B428-BC4549B7DD4F}"/>
            </a:ext>
          </a:extLst>
        </xdr:cNvPr>
        <xdr:cNvGrpSpPr/>
      </xdr:nvGrpSpPr>
      <xdr:grpSpPr>
        <a:xfrm>
          <a:off x="25794074" y="410061"/>
          <a:ext cx="501276" cy="501351"/>
          <a:chOff x="12109450" y="273050"/>
          <a:chExt cx="673100" cy="615950"/>
        </a:xfrm>
      </xdr:grpSpPr>
      <xdr:sp macro="[0]!VoltarNormal" textlink="">
        <xdr:nvSpPr>
          <xdr:cNvPr id="13" name="Retângulo: Cantos Arredondados 12">
            <a:extLst>
              <a:ext uri="{FF2B5EF4-FFF2-40B4-BE49-F238E27FC236}">
                <a16:creationId xmlns:a16="http://schemas.microsoft.com/office/drawing/2014/main" id="{A9CB3689-506E-85A5-3C2E-BE08CE625488}"/>
              </a:ext>
            </a:extLst>
          </xdr:cNvPr>
          <xdr:cNvSpPr/>
        </xdr:nvSpPr>
        <xdr:spPr>
          <a:xfrm>
            <a:off x="12109450" y="273050"/>
            <a:ext cx="673100" cy="615950"/>
          </a:xfrm>
          <a:prstGeom prst="round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b="1" cap="none" spc="50">
              <a:ln w="0"/>
              <a:solidFill>
                <a:schemeClr val="bg2"/>
              </a:solidFill>
              <a:effectLst>
                <a:innerShdw blurRad="63500" dist="50800" dir="13500000">
                  <a:srgbClr val="000000">
                    <a:alpha val="50000"/>
                  </a:srgbClr>
                </a:innerShdw>
              </a:effectLst>
            </a:endParaRPr>
          </a:p>
        </xdr:txBody>
      </xdr:sp>
      <xdr:pic macro="[0]!VoltarNormal">
        <xdr:nvPicPr>
          <xdr:cNvPr id="14" name="Gráfico 13" descr="Minimizar com preenchimento sólido">
            <a:extLst>
              <a:ext uri="{FF2B5EF4-FFF2-40B4-BE49-F238E27FC236}">
                <a16:creationId xmlns:a16="http://schemas.microsoft.com/office/drawing/2014/main" id="{0AFEDB0A-38C4-9CC4-F06F-99EEA743D11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204700" y="323850"/>
            <a:ext cx="514350" cy="514350"/>
          </a:xfrm>
          <a:prstGeom prst="rect">
            <a:avLst/>
          </a:prstGeom>
        </xdr:spPr>
      </xdr:pic>
    </xdr:grpSp>
    <xdr:clientData/>
  </xdr:twoCellAnchor>
  <xdr:twoCellAnchor>
    <xdr:from>
      <xdr:col>19</xdr:col>
      <xdr:colOff>400050</xdr:colOff>
      <xdr:row>1</xdr:row>
      <xdr:rowOff>209550</xdr:rowOff>
    </xdr:from>
    <xdr:to>
      <xdr:col>19</xdr:col>
      <xdr:colOff>901700</xdr:colOff>
      <xdr:row>1</xdr:row>
      <xdr:rowOff>668607</xdr:rowOff>
    </xdr:to>
    <xdr:grpSp>
      <xdr:nvGrpSpPr>
        <xdr:cNvPr id="15" name="Agrupar 14">
          <a:extLst>
            <a:ext uri="{FF2B5EF4-FFF2-40B4-BE49-F238E27FC236}">
              <a16:creationId xmlns:a16="http://schemas.microsoft.com/office/drawing/2014/main" id="{C8C0F410-E26E-4611-BB90-EC80A929F294}"/>
            </a:ext>
          </a:extLst>
        </xdr:cNvPr>
        <xdr:cNvGrpSpPr/>
      </xdr:nvGrpSpPr>
      <xdr:grpSpPr>
        <a:xfrm>
          <a:off x="25209874" y="422462"/>
          <a:ext cx="501650" cy="459057"/>
          <a:chOff x="11290300" y="273050"/>
          <a:chExt cx="673100" cy="615950"/>
        </a:xfrm>
      </xdr:grpSpPr>
      <xdr:sp macro="[0]!TelaCheia" textlink="">
        <xdr:nvSpPr>
          <xdr:cNvPr id="16" name="Retângulo: Cantos Arredondados 15">
            <a:extLst>
              <a:ext uri="{FF2B5EF4-FFF2-40B4-BE49-F238E27FC236}">
                <a16:creationId xmlns:a16="http://schemas.microsoft.com/office/drawing/2014/main" id="{BA479224-15CA-EC58-7BF0-92658CD19CAD}"/>
              </a:ext>
            </a:extLst>
          </xdr:cNvPr>
          <xdr:cNvSpPr/>
        </xdr:nvSpPr>
        <xdr:spPr>
          <a:xfrm>
            <a:off x="11290300" y="273050"/>
            <a:ext cx="673100" cy="615950"/>
          </a:xfrm>
          <a:prstGeom prst="round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b="1" cap="none" spc="50">
              <a:ln w="0"/>
              <a:solidFill>
                <a:schemeClr val="bg2"/>
              </a:solidFill>
              <a:effectLst>
                <a:innerShdw blurRad="63500" dist="50800" dir="13500000">
                  <a:srgbClr val="000000">
                    <a:alpha val="50000"/>
                  </a:srgbClr>
                </a:innerShdw>
              </a:effectLst>
            </a:endParaRPr>
          </a:p>
        </xdr:txBody>
      </xdr:sp>
      <xdr:pic macro="[0]!TelaCheia">
        <xdr:nvPicPr>
          <xdr:cNvPr id="17" name="Gráfico 16" descr="Maximizar com preenchimento sólido">
            <a:extLst>
              <a:ext uri="{FF2B5EF4-FFF2-40B4-BE49-F238E27FC236}">
                <a16:creationId xmlns:a16="http://schemas.microsoft.com/office/drawing/2014/main" id="{395235D8-1029-41EA-2F9E-26890B670F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360150" y="311150"/>
            <a:ext cx="501650" cy="501650"/>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uthor" refreshedDate="46300.345582638889" missingItemsLimit="0" createdVersion="8" refreshedVersion="8" minRefreshableVersion="3" recordCount="97" xr:uid="{27351202-85FA-4FFB-A5A5-8BFB2FD6180F}">
  <cacheSource type="worksheet">
    <worksheetSource name="BaseLanc"/>
  </cacheSource>
  <cacheFields count="15">
    <cacheField name="DT Compra" numFmtId="14">
      <sharedItems containsSemiMixedTypes="0" containsNonDate="0" containsDate="1" containsString="0" minDate="2026-08-04T00:00:00" maxDate="2026-10-29T00:00:00"/>
    </cacheField>
    <cacheField name="DT Venc" numFmtId="14">
      <sharedItems containsSemiMixedTypes="0" containsNonDate="0" containsDate="1" containsString="0" minDate="2026-08-04T00:00:00" maxDate="2026-10-29T00:00:00"/>
    </cacheField>
    <cacheField name="MÊS REF" numFmtId="17">
      <sharedItems containsSemiMixedTypes="0" containsNonDate="0" containsDate="1" containsString="0" minDate="2026-08-01T00:00:00" maxDate="2026-10-02T00:00:00" count="3">
        <d v="2026-08-01T00:00:00"/>
        <d v="2026-09-01T00:00:00"/>
        <d v="2026-10-01T00:00:00"/>
      </sharedItems>
    </cacheField>
    <cacheField name="TIPO" numFmtId="168">
      <sharedItems count="3">
        <s v="RECEITA"/>
        <s v="INVEST"/>
        <s v="DESPESA"/>
      </sharedItems>
    </cacheField>
    <cacheField name="Categoria" numFmtId="0">
      <sharedItems count="20">
        <s v="(R) SALARIO"/>
        <s v="(R) BONUS"/>
        <s v="(R) EXTRA"/>
        <s v="(R) RENDIMENTOS"/>
        <s v="(I) INVESTIMENTO"/>
        <s v="(D) ALIMENTACAO"/>
        <s v="(D) ASSINATURAS"/>
        <s v="(D) EMPRESTIMOS"/>
        <s v="(D) TRANSPORTE"/>
        <s v="(D) RESTAURANTES"/>
        <s v="(D) SAUDE"/>
        <s v="(D) EDUCACAO"/>
        <s v="(D) MORADIA - ALUGUEL"/>
        <s v="(D) CONDOMINIO"/>
        <s v="(D) MORADIA - AGUA"/>
        <s v="(D) LAZER"/>
        <s v="(D) MORADIA - ENERGIA"/>
        <s v="(D) CELULAR"/>
        <s v="(D) MORADIA - INTERNET"/>
        <s v="(D) CARTAO DE CREDITO"/>
      </sharedItems>
    </cacheField>
    <cacheField name="VlrReceita" numFmtId="165">
      <sharedItems containsString="0" containsBlank="1" containsNumber="1" minValue="312.39999999999998" maxValue="9800"/>
    </cacheField>
    <cacheField name="VlrDespesa" numFmtId="165">
      <sharedItems containsString="0" containsBlank="1" containsNumber="1" minValue="14.9" maxValue="3402.15"/>
    </cacheField>
    <cacheField name="Descricao" numFmtId="0">
      <sharedItems/>
    </cacheField>
    <cacheField name="Pessoa" numFmtId="0">
      <sharedItems/>
    </cacheField>
    <cacheField name="Status Pgto" numFmtId="0">
      <sharedItems count="2">
        <s v="Realizado"/>
        <s v="Previsto"/>
      </sharedItems>
    </cacheField>
    <cacheField name="Obs (OPCIONAL)" numFmtId="0">
      <sharedItems containsBlank="1"/>
    </cacheField>
    <cacheField name="PRI" numFmtId="0">
      <sharedItems/>
    </cacheField>
    <cacheField name="Saldo" numFmtId="0" formula="VlrReceita-VlrDespesa" databaseField="0"/>
    <cacheField name="Percentual" numFmtId="0" formula="VlrReceita" databaseField="0"/>
    <cacheField name="PercDespesa" numFmtId="0" formula="VlrDespesa" databaseField="0"/>
  </cacheFields>
  <extLst>
    <ext xmlns:x14="http://schemas.microsoft.com/office/spreadsheetml/2009/9/main" uri="{725AE2AE-9491-48be-B2B4-4EB974FC3084}">
      <x14:pivotCacheDefinition pivotCacheId="117451437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uthor" refreshedDate="46300.345582986112" missingItemsLimit="0" createdVersion="8" refreshedVersion="8" minRefreshableVersion="3" recordCount="6" xr:uid="{6BD4CD79-A88E-4A07-A496-36EF4C428610}">
  <cacheSource type="worksheet">
    <worksheetSource name="Tb_Emprestimos"/>
  </cacheSource>
  <cacheFields count="8">
    <cacheField name="DATA" numFmtId="14">
      <sharedItems containsSemiMixedTypes="0" containsNonDate="0" containsDate="1" containsString="0" minDate="2026-08-05T00:00:00" maxDate="2026-10-06T00:00:00"/>
    </cacheField>
    <cacheField name="MÊS REF" numFmtId="17">
      <sharedItems containsSemiMixedTypes="0" containsNonDate="0" containsDate="1" containsString="0" minDate="2026-08-05T00:00:00" maxDate="2026-10-06T00:00:00" count="3">
        <d v="2026-08-05T00:00:00"/>
        <d v="2026-09-05T00:00:00"/>
        <d v="2026-10-05T00:00:00"/>
      </sharedItems>
    </cacheField>
    <cacheField name="PRAZO(m)" numFmtId="0">
      <sharedItems containsSemiMixedTypes="0" containsString="0" containsNumber="1" containsInteger="1" minValue="44" maxValue="59"/>
    </cacheField>
    <cacheField name="Vlr.Prest" numFmtId="165">
      <sharedItems containsSemiMixedTypes="0" containsString="0" containsNumber="1" containsInteger="1" minValue="780" maxValue="1150"/>
    </cacheField>
    <cacheField name="TAXA(a.m)" numFmtId="173">
      <sharedItems containsSemiMixedTypes="0" containsString="0" containsNumber="1" minValue="1.35" maxValue="1.7"/>
    </cacheField>
    <cacheField name="Vlr LIQ" numFmtId="165">
      <sharedItems containsString="0" containsBlank="1" containsNumber="1" containsInteger="1" minValue="28000" maxValue="38000"/>
    </cacheField>
    <cacheField name="Sld Devedor" numFmtId="165">
      <sharedItems containsSemiMixedTypes="0" containsString="0" containsNumber="1" containsInteger="1" minValue="23560" maxValue="31450"/>
    </cacheField>
    <cacheField name="DESCRIÇÃO" numFmtId="0">
      <sharedItems count="2">
        <s v="FINANC. VEICULO"/>
        <s v="CONSIGNADO"/>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uthor" refreshedDate="46300.345582986112" missingItemsLimit="0" createdVersion="8" refreshedVersion="8" minRefreshableVersion="3" recordCount="97" xr:uid="{9E06154C-1257-4066-89D3-7E21E3598328}">
  <cacheSource type="worksheet">
    <worksheetSource name="BaseLanc"/>
  </cacheSource>
  <cacheFields count="15">
    <cacheField name="DT Compra" numFmtId="14">
      <sharedItems containsSemiMixedTypes="0" containsNonDate="0" containsDate="1" containsString="0" minDate="2026-08-04T00:00:00" maxDate="2026-10-29T00:00:00"/>
    </cacheField>
    <cacheField name="DT Venc" numFmtId="14">
      <sharedItems containsSemiMixedTypes="0" containsNonDate="0" containsDate="1" containsString="0" minDate="2026-08-04T00:00:00" maxDate="2026-10-29T00:00:00"/>
    </cacheField>
    <cacheField name="MÊS REF" numFmtId="17">
      <sharedItems containsSemiMixedTypes="0" containsNonDate="0" containsDate="1" containsString="0" minDate="2026-08-01T00:00:00" maxDate="2026-10-02T00:00:00" count="3">
        <d v="2026-08-01T00:00:00"/>
        <d v="2026-09-01T00:00:00"/>
        <d v="2026-10-01T00:00:00"/>
      </sharedItems>
    </cacheField>
    <cacheField name="TIPO" numFmtId="168">
      <sharedItems/>
    </cacheField>
    <cacheField name="Categoria" numFmtId="0">
      <sharedItems count="20">
        <s v="(R) SALARIO"/>
        <s v="(R) BONUS"/>
        <s v="(R) EXTRA"/>
        <s v="(R) RENDIMENTOS"/>
        <s v="(I) INVESTIMENTO"/>
        <s v="(D) ALIMENTACAO"/>
        <s v="(D) ASSINATURAS"/>
        <s v="(D) EMPRESTIMOS"/>
        <s v="(D) TRANSPORTE"/>
        <s v="(D) RESTAURANTES"/>
        <s v="(D) SAUDE"/>
        <s v="(D) EDUCACAO"/>
        <s v="(D) MORADIA - ALUGUEL"/>
        <s v="(D) CONDOMINIO"/>
        <s v="(D) MORADIA - AGUA"/>
        <s v="(D) LAZER"/>
        <s v="(D) MORADIA - ENERGIA"/>
        <s v="(D) CELULAR"/>
        <s v="(D) MORADIA - INTERNET"/>
        <s v="(D) CARTAO DE CREDITO"/>
      </sharedItems>
    </cacheField>
    <cacheField name="VlrReceita" numFmtId="165">
      <sharedItems containsString="0" containsBlank="1" containsNumber="1" minValue="312.39999999999998" maxValue="9800"/>
    </cacheField>
    <cacheField name="VlrDespesa" numFmtId="165">
      <sharedItems containsString="0" containsBlank="1" containsNumber="1" minValue="14.9" maxValue="3402.15"/>
    </cacheField>
    <cacheField name="Descricao" numFmtId="0">
      <sharedItems/>
    </cacheField>
    <cacheField name="Pessoa" numFmtId="0">
      <sharedItems/>
    </cacheField>
    <cacheField name="Status Pgto" numFmtId="0">
      <sharedItems/>
    </cacheField>
    <cacheField name="Obs (OPCIONAL)" numFmtId="0">
      <sharedItems containsBlank="1"/>
    </cacheField>
    <cacheField name="PRI" numFmtId="0">
      <sharedItems/>
    </cacheField>
    <cacheField name="Saldo" numFmtId="0" formula="VlrReceita-VlrDespesa" databaseField="0"/>
    <cacheField name="Percentual" numFmtId="0" formula="VlrReceita" databaseField="0"/>
    <cacheField name="PercDespesa" numFmtId="0" formula="VlrDespesa"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d v="2026-08-05T00:00:00"/>
    <d v="2026-08-05T00:00:00"/>
    <x v="0"/>
    <x v="0"/>
    <x v="0"/>
    <n v="5600"/>
    <m/>
    <s v="Salario mensal"/>
    <s v="Marina Souza"/>
    <x v="0"/>
    <m/>
    <s v="Alta"/>
  </r>
  <r>
    <d v="2026-08-05T00:00:00"/>
    <d v="2026-08-05T00:00:00"/>
    <x v="0"/>
    <x v="0"/>
    <x v="0"/>
    <n v="9800"/>
    <m/>
    <s v="Salario mensal"/>
    <s v="Alex Moreira"/>
    <x v="0"/>
    <m/>
    <s v="Alta"/>
  </r>
  <r>
    <d v="2026-08-15T00:00:00"/>
    <d v="2026-08-15T00:00:00"/>
    <x v="0"/>
    <x v="0"/>
    <x v="1"/>
    <n v="2500"/>
    <m/>
    <s v="Bonus semestral"/>
    <s v="Alex Moreira"/>
    <x v="0"/>
    <s v="Valor liquido"/>
    <s v="Media"/>
  </r>
  <r>
    <d v="2026-08-18T00:00:00"/>
    <d v="2026-08-20T00:00:00"/>
    <x v="0"/>
    <x v="0"/>
    <x v="2"/>
    <n v="1450"/>
    <m/>
    <s v="Projeto freelance"/>
    <s v="Alex Moreira"/>
    <x v="0"/>
    <m/>
    <s v="Media"/>
  </r>
  <r>
    <d v="2026-08-28T00:00:00"/>
    <d v="2026-08-28T00:00:00"/>
    <x v="0"/>
    <x v="0"/>
    <x v="3"/>
    <n v="312.39999999999998"/>
    <m/>
    <s v="Rendimentos da carteira"/>
    <s v="Familia"/>
    <x v="0"/>
    <m/>
    <s v="Baixa"/>
  </r>
  <r>
    <d v="2026-08-06T00:00:00"/>
    <d v="2026-08-06T00:00:00"/>
    <x v="0"/>
    <x v="1"/>
    <x v="4"/>
    <m/>
    <n v="1000"/>
    <s v="Aporte mensal - renda fixa"/>
    <s v="Alex Moreira"/>
    <x v="0"/>
    <m/>
    <s v="Media"/>
  </r>
  <r>
    <d v="2026-08-20T00:00:00"/>
    <d v="2026-08-20T00:00:00"/>
    <x v="0"/>
    <x v="1"/>
    <x v="4"/>
    <m/>
    <n v="500"/>
    <s v="Reserva de emergencia"/>
    <s v="Familia"/>
    <x v="0"/>
    <m/>
    <s v="Media"/>
  </r>
  <r>
    <d v="2026-08-04T00:00:00"/>
    <d v="2026-08-04T00:00:00"/>
    <x v="0"/>
    <x v="2"/>
    <x v="5"/>
    <m/>
    <n v="612.29999999999995"/>
    <s v="Supermercado"/>
    <s v="Familia"/>
    <x v="0"/>
    <s v="Compra do mes"/>
    <s v="Media"/>
  </r>
  <r>
    <d v="2026-08-05T00:00:00"/>
    <d v="2026-08-05T00:00:00"/>
    <x v="0"/>
    <x v="2"/>
    <x v="6"/>
    <m/>
    <n v="55.9"/>
    <s v="Streaming de video"/>
    <s v="Familia"/>
    <x v="0"/>
    <m/>
    <s v="Baixa"/>
  </r>
  <r>
    <d v="2026-08-05T00:00:00"/>
    <d v="2026-08-05T00:00:00"/>
    <x v="0"/>
    <x v="2"/>
    <x v="7"/>
    <m/>
    <n v="1150"/>
    <s v="Parcela financiamento veiculo"/>
    <s v="Alex Moreira"/>
    <x v="0"/>
    <s v="Parcela fixa"/>
    <s v="Alta"/>
  </r>
  <r>
    <d v="2026-08-05T00:00:00"/>
    <d v="2026-08-05T00:00:00"/>
    <x v="0"/>
    <x v="2"/>
    <x v="7"/>
    <m/>
    <n v="780"/>
    <s v="Parcela consignado"/>
    <s v="Alex Moreira"/>
    <x v="0"/>
    <s v="Desconto em folha"/>
    <s v="Alta"/>
  </r>
  <r>
    <d v="2026-08-05T00:00:00"/>
    <d v="2026-08-05T00:00:00"/>
    <x v="0"/>
    <x v="2"/>
    <x v="6"/>
    <m/>
    <n v="21.9"/>
    <s v="Streaming de musica"/>
    <s v="Familia"/>
    <x v="0"/>
    <m/>
    <s v="Baixa"/>
  </r>
  <r>
    <d v="2026-08-07T00:00:00"/>
    <d v="2026-08-07T00:00:00"/>
    <x v="0"/>
    <x v="2"/>
    <x v="8"/>
    <m/>
    <n v="320"/>
    <s v="Combustivel"/>
    <s v="Alex Moreira"/>
    <x v="0"/>
    <m/>
    <s v="Media"/>
  </r>
  <r>
    <d v="2026-08-08T00:00:00"/>
    <d v="2026-08-08T00:00:00"/>
    <x v="0"/>
    <x v="2"/>
    <x v="9"/>
    <m/>
    <n v="185"/>
    <s v="Jantar fim de semana"/>
    <s v="Familia"/>
    <x v="0"/>
    <m/>
    <s v="Baixa"/>
  </r>
  <r>
    <d v="2026-08-08T00:00:00"/>
    <d v="2026-08-08T00:00:00"/>
    <x v="0"/>
    <x v="2"/>
    <x v="10"/>
    <m/>
    <n v="689.9"/>
    <s v="Plano de saude"/>
    <s v="Familia"/>
    <x v="0"/>
    <m/>
    <s v="Alta"/>
  </r>
  <r>
    <d v="2026-08-09T00:00:00"/>
    <d v="2026-08-09T00:00:00"/>
    <x v="0"/>
    <x v="2"/>
    <x v="6"/>
    <m/>
    <n v="14.9"/>
    <s v="Armazenamento em nuvem"/>
    <s v="Alex Moreira"/>
    <x v="0"/>
    <m/>
    <s v="Baixa"/>
  </r>
  <r>
    <d v="2026-08-10T00:00:00"/>
    <d v="2026-08-10T00:00:00"/>
    <x v="0"/>
    <x v="2"/>
    <x v="11"/>
    <m/>
    <n v="380"/>
    <s v="Curso de ingles"/>
    <s v="Marina Souza"/>
    <x v="0"/>
    <m/>
    <s v="Media"/>
  </r>
  <r>
    <d v="2026-08-10T00:00:00"/>
    <d v="2026-08-10T00:00:00"/>
    <x v="0"/>
    <x v="2"/>
    <x v="12"/>
    <m/>
    <n v="3200"/>
    <s v="Aluguel"/>
    <s v="Familia"/>
    <x v="0"/>
    <m/>
    <s v="Alta"/>
  </r>
  <r>
    <d v="2026-08-10T00:00:00"/>
    <d v="2026-08-10T00:00:00"/>
    <x v="0"/>
    <x v="2"/>
    <x v="13"/>
    <m/>
    <n v="785"/>
    <s v="Condominio"/>
    <s v="Familia"/>
    <x v="0"/>
    <m/>
    <s v="Alta"/>
  </r>
  <r>
    <d v="2026-08-12T00:00:00"/>
    <d v="2026-08-12T00:00:00"/>
    <x v="0"/>
    <x v="2"/>
    <x v="14"/>
    <m/>
    <n v="98.2"/>
    <s v="Conta de agua"/>
    <s v="Familia"/>
    <x v="0"/>
    <m/>
    <s v="Alta"/>
  </r>
  <r>
    <d v="2026-08-13T00:00:00"/>
    <d v="2026-08-13T00:00:00"/>
    <x v="0"/>
    <x v="2"/>
    <x v="5"/>
    <m/>
    <n v="478.55"/>
    <s v="Supermercado"/>
    <s v="Familia"/>
    <x v="0"/>
    <m/>
    <s v="Media"/>
  </r>
  <r>
    <d v="2026-08-14T00:00:00"/>
    <d v="2026-08-14T00:00:00"/>
    <x v="0"/>
    <x v="2"/>
    <x v="15"/>
    <m/>
    <n v="129"/>
    <s v="Cinema e passeios"/>
    <s v="Familia"/>
    <x v="0"/>
    <m/>
    <s v="Baixa"/>
  </r>
  <r>
    <d v="2026-08-15T00:00:00"/>
    <d v="2026-08-15T00:00:00"/>
    <x v="0"/>
    <x v="2"/>
    <x v="16"/>
    <m/>
    <n v="238.4"/>
    <s v="Conta de energia"/>
    <s v="Familia"/>
    <x v="0"/>
    <m/>
    <s v="Alta"/>
  </r>
  <r>
    <d v="2026-08-16T00:00:00"/>
    <d v="2026-08-16T00:00:00"/>
    <x v="0"/>
    <x v="2"/>
    <x v="8"/>
    <m/>
    <n v="86.4"/>
    <s v="Aplicativo de transporte"/>
    <s v="Marina Souza"/>
    <x v="0"/>
    <m/>
    <s v="Baixa"/>
  </r>
  <r>
    <d v="2026-08-18T00:00:00"/>
    <d v="2026-08-18T00:00:00"/>
    <x v="0"/>
    <x v="2"/>
    <x v="17"/>
    <m/>
    <n v="79.900000000000006"/>
    <s v="Plano celular"/>
    <s v="Alex Moreira"/>
    <x v="0"/>
    <m/>
    <s v="Media"/>
  </r>
  <r>
    <d v="2026-08-18T00:00:00"/>
    <d v="2026-08-18T00:00:00"/>
    <x v="0"/>
    <x v="2"/>
    <x v="17"/>
    <m/>
    <n v="59.9"/>
    <s v="Plano celular"/>
    <s v="Marina Souza"/>
    <x v="0"/>
    <m/>
    <s v="Media"/>
  </r>
  <r>
    <d v="2026-08-19T00:00:00"/>
    <d v="2026-08-19T00:00:00"/>
    <x v="0"/>
    <x v="2"/>
    <x v="10"/>
    <m/>
    <n v="142.30000000000001"/>
    <s v="Farmacia"/>
    <s v="Familia"/>
    <x v="0"/>
    <m/>
    <s v="Media"/>
  </r>
  <r>
    <d v="2026-08-20T00:00:00"/>
    <d v="2026-08-20T00:00:00"/>
    <x v="0"/>
    <x v="2"/>
    <x v="18"/>
    <m/>
    <n v="129.9"/>
    <s v="Internet fibra 500 Mb"/>
    <s v="Familia"/>
    <x v="0"/>
    <m/>
    <s v="Media"/>
  </r>
  <r>
    <d v="2026-08-21T00:00:00"/>
    <d v="2026-08-21T00:00:00"/>
    <x v="0"/>
    <x v="2"/>
    <x v="9"/>
    <m/>
    <n v="240"/>
    <s v="Almoco em familia"/>
    <s v="Familia"/>
    <x v="0"/>
    <m/>
    <s v="Baixa"/>
  </r>
  <r>
    <d v="2026-08-22T00:00:00"/>
    <d v="2026-08-22T00:00:00"/>
    <x v="0"/>
    <x v="2"/>
    <x v="8"/>
    <m/>
    <n v="290"/>
    <s v="Combustivel"/>
    <s v="Marina Souza"/>
    <x v="0"/>
    <m/>
    <s v="Media"/>
  </r>
  <r>
    <d v="2026-08-24T00:00:00"/>
    <d v="2026-08-24T00:00:00"/>
    <x v="0"/>
    <x v="2"/>
    <x v="5"/>
    <m/>
    <n v="701.2"/>
    <s v="Supermercado"/>
    <s v="Familia"/>
    <x v="0"/>
    <m/>
    <s v="Media"/>
  </r>
  <r>
    <d v="2026-08-25T00:00:00"/>
    <d v="2026-08-25T00:00:00"/>
    <x v="0"/>
    <x v="2"/>
    <x v="19"/>
    <m/>
    <n v="3184.6"/>
    <s v="Fatura do cartao"/>
    <s v="Familia"/>
    <x v="0"/>
    <m/>
    <s v="Alta"/>
  </r>
  <r>
    <d v="2026-08-26T00:00:00"/>
    <d v="2026-08-26T00:00:00"/>
    <x v="0"/>
    <x v="2"/>
    <x v="15"/>
    <m/>
    <n v="210"/>
    <s v="Fim de semana"/>
    <s v="Familia"/>
    <x v="0"/>
    <m/>
    <s v="Baixa"/>
  </r>
  <r>
    <d v="2026-09-05T00:00:00"/>
    <d v="2026-09-05T00:00:00"/>
    <x v="1"/>
    <x v="0"/>
    <x v="0"/>
    <n v="5600"/>
    <m/>
    <s v="Salario mensal"/>
    <s v="Marina Souza"/>
    <x v="0"/>
    <m/>
    <s v="Alta"/>
  </r>
  <r>
    <d v="2026-09-05T00:00:00"/>
    <d v="2026-09-05T00:00:00"/>
    <x v="1"/>
    <x v="0"/>
    <x v="0"/>
    <n v="9800"/>
    <m/>
    <s v="Salario mensal"/>
    <s v="Alex Moreira"/>
    <x v="0"/>
    <m/>
    <s v="Alta"/>
  </r>
  <r>
    <d v="2026-09-18T00:00:00"/>
    <d v="2026-09-20T00:00:00"/>
    <x v="1"/>
    <x v="0"/>
    <x v="2"/>
    <n v="2100"/>
    <m/>
    <s v="Projeto freelance"/>
    <s v="Alex Moreira"/>
    <x v="0"/>
    <m/>
    <s v="Media"/>
  </r>
  <r>
    <d v="2026-09-28T00:00:00"/>
    <d v="2026-09-28T00:00:00"/>
    <x v="1"/>
    <x v="0"/>
    <x v="3"/>
    <n v="318.75"/>
    <m/>
    <s v="Rendimentos da carteira"/>
    <s v="Familia"/>
    <x v="0"/>
    <m/>
    <s v="Baixa"/>
  </r>
  <r>
    <d v="2026-09-06T00:00:00"/>
    <d v="2026-09-06T00:00:00"/>
    <x v="1"/>
    <x v="1"/>
    <x v="4"/>
    <m/>
    <n v="1000"/>
    <s v="Aporte mensal - renda fixa"/>
    <s v="Alex Moreira"/>
    <x v="0"/>
    <m/>
    <s v="Media"/>
  </r>
  <r>
    <d v="2026-09-20T00:00:00"/>
    <d v="2026-09-20T00:00:00"/>
    <x v="1"/>
    <x v="1"/>
    <x v="4"/>
    <m/>
    <n v="500"/>
    <s v="Reserva de emergencia"/>
    <s v="Familia"/>
    <x v="0"/>
    <m/>
    <s v="Media"/>
  </r>
  <r>
    <d v="2026-09-04T00:00:00"/>
    <d v="2026-09-04T00:00:00"/>
    <x v="1"/>
    <x v="2"/>
    <x v="5"/>
    <m/>
    <n v="588.4"/>
    <s v="Supermercado"/>
    <s v="Familia"/>
    <x v="0"/>
    <s v="Compra do mes"/>
    <s v="Media"/>
  </r>
  <r>
    <d v="2026-09-05T00:00:00"/>
    <d v="2026-09-05T00:00:00"/>
    <x v="1"/>
    <x v="2"/>
    <x v="7"/>
    <m/>
    <n v="1150"/>
    <s v="Parcela financiamento veiculo"/>
    <s v="Alex Moreira"/>
    <x v="0"/>
    <s v="Parcela fixa"/>
    <s v="Alta"/>
  </r>
  <r>
    <d v="2026-09-05T00:00:00"/>
    <d v="2026-09-05T00:00:00"/>
    <x v="1"/>
    <x v="2"/>
    <x v="7"/>
    <m/>
    <n v="780"/>
    <s v="Parcela consignado"/>
    <s v="Alex Moreira"/>
    <x v="0"/>
    <s v="Desconto em folha"/>
    <s v="Alta"/>
  </r>
  <r>
    <d v="2026-09-05T00:00:00"/>
    <d v="2026-09-05T00:00:00"/>
    <x v="1"/>
    <x v="2"/>
    <x v="6"/>
    <m/>
    <n v="55.9"/>
    <s v="Streaming de video"/>
    <s v="Familia"/>
    <x v="0"/>
    <m/>
    <s v="Baixa"/>
  </r>
  <r>
    <d v="2026-09-05T00:00:00"/>
    <d v="2026-09-05T00:00:00"/>
    <x v="1"/>
    <x v="2"/>
    <x v="6"/>
    <m/>
    <n v="21.9"/>
    <s v="Streaming de musica"/>
    <s v="Familia"/>
    <x v="0"/>
    <m/>
    <s v="Baixa"/>
  </r>
  <r>
    <d v="2026-09-07T00:00:00"/>
    <d v="2026-09-07T00:00:00"/>
    <x v="1"/>
    <x v="2"/>
    <x v="8"/>
    <m/>
    <n v="335"/>
    <s v="Combustivel"/>
    <s v="Alex Moreira"/>
    <x v="0"/>
    <m/>
    <s v="Media"/>
  </r>
  <r>
    <d v="2026-09-08T00:00:00"/>
    <d v="2026-09-08T00:00:00"/>
    <x v="1"/>
    <x v="2"/>
    <x v="10"/>
    <m/>
    <n v="689.9"/>
    <s v="Plano de saude"/>
    <s v="Familia"/>
    <x v="0"/>
    <m/>
    <s v="Alta"/>
  </r>
  <r>
    <d v="2026-09-08T00:00:00"/>
    <d v="2026-09-08T00:00:00"/>
    <x v="1"/>
    <x v="2"/>
    <x v="9"/>
    <m/>
    <n v="185"/>
    <s v="Jantar fim de semana"/>
    <s v="Familia"/>
    <x v="0"/>
    <m/>
    <s v="Baixa"/>
  </r>
  <r>
    <d v="2026-09-09T00:00:00"/>
    <d v="2026-09-09T00:00:00"/>
    <x v="1"/>
    <x v="2"/>
    <x v="6"/>
    <m/>
    <n v="14.9"/>
    <s v="Armazenamento em nuvem"/>
    <s v="Alex Moreira"/>
    <x v="0"/>
    <m/>
    <s v="Baixa"/>
  </r>
  <r>
    <d v="2026-09-10T00:00:00"/>
    <d v="2026-09-10T00:00:00"/>
    <x v="1"/>
    <x v="2"/>
    <x v="11"/>
    <m/>
    <n v="380"/>
    <s v="Curso de ingles"/>
    <s v="Marina Souza"/>
    <x v="0"/>
    <m/>
    <s v="Media"/>
  </r>
  <r>
    <d v="2026-09-10T00:00:00"/>
    <d v="2026-09-10T00:00:00"/>
    <x v="1"/>
    <x v="2"/>
    <x v="13"/>
    <m/>
    <n v="785"/>
    <s v="Condominio"/>
    <s v="Familia"/>
    <x v="0"/>
    <m/>
    <s v="Alta"/>
  </r>
  <r>
    <d v="2026-09-10T00:00:00"/>
    <d v="2026-09-10T00:00:00"/>
    <x v="1"/>
    <x v="2"/>
    <x v="12"/>
    <m/>
    <n v="3200"/>
    <s v="Aluguel"/>
    <s v="Familia"/>
    <x v="0"/>
    <m/>
    <s v="Alta"/>
  </r>
  <r>
    <d v="2026-09-12T00:00:00"/>
    <d v="2026-09-12T00:00:00"/>
    <x v="1"/>
    <x v="2"/>
    <x v="14"/>
    <m/>
    <n v="104.6"/>
    <s v="Conta de agua"/>
    <s v="Familia"/>
    <x v="0"/>
    <m/>
    <s v="Alta"/>
  </r>
  <r>
    <d v="2026-09-13T00:00:00"/>
    <d v="2026-09-13T00:00:00"/>
    <x v="1"/>
    <x v="2"/>
    <x v="5"/>
    <m/>
    <n v="512.1"/>
    <s v="Supermercado"/>
    <s v="Familia"/>
    <x v="0"/>
    <m/>
    <s v="Media"/>
  </r>
  <r>
    <d v="2026-09-14T00:00:00"/>
    <d v="2026-09-14T00:00:00"/>
    <x v="1"/>
    <x v="2"/>
    <x v="15"/>
    <m/>
    <n v="189.9"/>
    <s v="Cinema e passeios"/>
    <s v="Familia"/>
    <x v="0"/>
    <m/>
    <s v="Baixa"/>
  </r>
  <r>
    <d v="2026-09-15T00:00:00"/>
    <d v="2026-09-15T00:00:00"/>
    <x v="1"/>
    <x v="2"/>
    <x v="16"/>
    <m/>
    <n v="261.14999999999998"/>
    <s v="Conta de energia"/>
    <s v="Familia"/>
    <x v="0"/>
    <m/>
    <s v="Alta"/>
  </r>
  <r>
    <d v="2026-09-16T00:00:00"/>
    <d v="2026-09-16T00:00:00"/>
    <x v="1"/>
    <x v="2"/>
    <x v="8"/>
    <m/>
    <n v="86.4"/>
    <s v="Aplicativo de transporte"/>
    <s v="Marina Souza"/>
    <x v="0"/>
    <m/>
    <s v="Baixa"/>
  </r>
  <r>
    <d v="2026-09-18T00:00:00"/>
    <d v="2026-09-18T00:00:00"/>
    <x v="1"/>
    <x v="2"/>
    <x v="17"/>
    <m/>
    <n v="59.9"/>
    <s v="Plano celular"/>
    <s v="Marina Souza"/>
    <x v="0"/>
    <m/>
    <s v="Media"/>
  </r>
  <r>
    <d v="2026-09-18T00:00:00"/>
    <d v="2026-09-18T00:00:00"/>
    <x v="1"/>
    <x v="2"/>
    <x v="17"/>
    <m/>
    <n v="79.900000000000006"/>
    <s v="Plano celular"/>
    <s v="Alex Moreira"/>
    <x v="0"/>
    <m/>
    <s v="Media"/>
  </r>
  <r>
    <d v="2026-09-19T00:00:00"/>
    <d v="2026-09-19T00:00:00"/>
    <x v="1"/>
    <x v="2"/>
    <x v="10"/>
    <m/>
    <n v="87.9"/>
    <s v="Farmacia"/>
    <s v="Familia"/>
    <x v="0"/>
    <m/>
    <s v="Media"/>
  </r>
  <r>
    <d v="2026-09-20T00:00:00"/>
    <d v="2026-09-20T00:00:00"/>
    <x v="1"/>
    <x v="2"/>
    <x v="18"/>
    <m/>
    <n v="129.9"/>
    <s v="Internet fibra 500 Mb"/>
    <s v="Familia"/>
    <x v="0"/>
    <m/>
    <s v="Media"/>
  </r>
  <r>
    <d v="2026-09-21T00:00:00"/>
    <d v="2026-09-21T00:00:00"/>
    <x v="1"/>
    <x v="2"/>
    <x v="9"/>
    <m/>
    <n v="240"/>
    <s v="Almoco em familia"/>
    <s v="Familia"/>
    <x v="0"/>
    <m/>
    <s v="Baixa"/>
  </r>
  <r>
    <d v="2026-09-22T00:00:00"/>
    <d v="2026-09-22T00:00:00"/>
    <x v="1"/>
    <x v="2"/>
    <x v="8"/>
    <m/>
    <n v="284"/>
    <s v="Combustivel"/>
    <s v="Marina Souza"/>
    <x v="0"/>
    <m/>
    <s v="Media"/>
  </r>
  <r>
    <d v="2026-09-24T00:00:00"/>
    <d v="2026-09-24T00:00:00"/>
    <x v="1"/>
    <x v="2"/>
    <x v="5"/>
    <m/>
    <n v="655.85"/>
    <s v="Supermercado"/>
    <s v="Familia"/>
    <x v="0"/>
    <m/>
    <s v="Media"/>
  </r>
  <r>
    <d v="2026-09-25T00:00:00"/>
    <d v="2026-09-25T00:00:00"/>
    <x v="1"/>
    <x v="2"/>
    <x v="19"/>
    <m/>
    <n v="3402.15"/>
    <s v="Fatura do cartao"/>
    <s v="Familia"/>
    <x v="0"/>
    <m/>
    <s v="Alta"/>
  </r>
  <r>
    <d v="2026-09-26T00:00:00"/>
    <d v="2026-09-26T00:00:00"/>
    <x v="1"/>
    <x v="2"/>
    <x v="15"/>
    <m/>
    <n v="175.5"/>
    <s v="Fim de semana"/>
    <s v="Familia"/>
    <x v="0"/>
    <m/>
    <s v="Baixa"/>
  </r>
  <r>
    <d v="2026-10-05T00:00:00"/>
    <d v="2026-10-05T00:00:00"/>
    <x v="2"/>
    <x v="0"/>
    <x v="0"/>
    <n v="5600"/>
    <m/>
    <s v="Salario mensal"/>
    <s v="Marina Souza"/>
    <x v="0"/>
    <m/>
    <s v="Alta"/>
  </r>
  <r>
    <d v="2026-10-05T00:00:00"/>
    <d v="2026-10-05T00:00:00"/>
    <x v="2"/>
    <x v="0"/>
    <x v="0"/>
    <n v="9800"/>
    <m/>
    <s v="Salario mensal"/>
    <s v="Alex Moreira"/>
    <x v="0"/>
    <m/>
    <s v="Alta"/>
  </r>
  <r>
    <d v="2026-10-18T00:00:00"/>
    <d v="2026-10-20T00:00:00"/>
    <x v="2"/>
    <x v="0"/>
    <x v="2"/>
    <n v="1800"/>
    <m/>
    <s v="Projeto freelance"/>
    <s v="Alex Moreira"/>
    <x v="1"/>
    <m/>
    <s v="Media"/>
  </r>
  <r>
    <d v="2026-10-28T00:00:00"/>
    <d v="2026-10-28T00:00:00"/>
    <x v="2"/>
    <x v="0"/>
    <x v="3"/>
    <n v="325.10000000000002"/>
    <m/>
    <s v="Rendimentos da carteira"/>
    <s v="Familia"/>
    <x v="1"/>
    <m/>
    <s v="Baixa"/>
  </r>
  <r>
    <d v="2026-10-06T00:00:00"/>
    <d v="2026-10-06T00:00:00"/>
    <x v="2"/>
    <x v="1"/>
    <x v="4"/>
    <m/>
    <n v="1000"/>
    <s v="Aporte mensal - renda fixa"/>
    <s v="Alex Moreira"/>
    <x v="1"/>
    <m/>
    <s v="Media"/>
  </r>
  <r>
    <d v="2026-10-20T00:00:00"/>
    <d v="2026-10-20T00:00:00"/>
    <x v="2"/>
    <x v="1"/>
    <x v="4"/>
    <m/>
    <n v="500"/>
    <s v="Reserva de emergencia"/>
    <s v="Familia"/>
    <x v="1"/>
    <m/>
    <s v="Media"/>
  </r>
  <r>
    <d v="2026-10-04T00:00:00"/>
    <d v="2026-10-04T00:00:00"/>
    <x v="2"/>
    <x v="2"/>
    <x v="5"/>
    <m/>
    <n v="634.75"/>
    <s v="Supermercado"/>
    <s v="Familia"/>
    <x v="0"/>
    <s v="Compra do mes"/>
    <s v="Media"/>
  </r>
  <r>
    <d v="2026-10-05T00:00:00"/>
    <d v="2026-10-05T00:00:00"/>
    <x v="2"/>
    <x v="2"/>
    <x v="6"/>
    <m/>
    <n v="21.9"/>
    <s v="Streaming de musica"/>
    <s v="Familia"/>
    <x v="0"/>
    <m/>
    <s v="Baixa"/>
  </r>
  <r>
    <d v="2026-10-05T00:00:00"/>
    <d v="2026-10-05T00:00:00"/>
    <x v="2"/>
    <x v="2"/>
    <x v="7"/>
    <m/>
    <n v="1150"/>
    <s v="Parcela financiamento veiculo"/>
    <s v="Alex Moreira"/>
    <x v="0"/>
    <s v="Parcela fixa"/>
    <s v="Alta"/>
  </r>
  <r>
    <d v="2026-10-05T00:00:00"/>
    <d v="2026-10-05T00:00:00"/>
    <x v="2"/>
    <x v="2"/>
    <x v="6"/>
    <m/>
    <n v="55.9"/>
    <s v="Streaming de video"/>
    <s v="Familia"/>
    <x v="0"/>
    <m/>
    <s v="Baixa"/>
  </r>
  <r>
    <d v="2026-10-05T00:00:00"/>
    <d v="2026-10-05T00:00:00"/>
    <x v="2"/>
    <x v="2"/>
    <x v="7"/>
    <m/>
    <n v="780"/>
    <s v="Parcela consignado"/>
    <s v="Alex Moreira"/>
    <x v="0"/>
    <s v="Desconto em folha"/>
    <s v="Alta"/>
  </r>
  <r>
    <d v="2026-10-07T00:00:00"/>
    <d v="2026-10-07T00:00:00"/>
    <x v="2"/>
    <x v="2"/>
    <x v="8"/>
    <m/>
    <n v="318"/>
    <s v="Combustivel"/>
    <s v="Alex Moreira"/>
    <x v="1"/>
    <m/>
    <s v="Media"/>
  </r>
  <r>
    <d v="2026-10-08T00:00:00"/>
    <d v="2026-10-08T00:00:00"/>
    <x v="2"/>
    <x v="2"/>
    <x v="10"/>
    <m/>
    <n v="689.9"/>
    <s v="Plano de saude"/>
    <s v="Familia"/>
    <x v="1"/>
    <m/>
    <s v="Alta"/>
  </r>
  <r>
    <d v="2026-10-08T00:00:00"/>
    <d v="2026-10-08T00:00:00"/>
    <x v="2"/>
    <x v="2"/>
    <x v="9"/>
    <m/>
    <n v="185"/>
    <s v="Jantar fim de semana"/>
    <s v="Familia"/>
    <x v="1"/>
    <m/>
    <s v="Baixa"/>
  </r>
  <r>
    <d v="2026-10-09T00:00:00"/>
    <d v="2026-10-09T00:00:00"/>
    <x v="2"/>
    <x v="2"/>
    <x v="6"/>
    <m/>
    <n v="14.9"/>
    <s v="Armazenamento em nuvem"/>
    <s v="Alex Moreira"/>
    <x v="1"/>
    <m/>
    <s v="Baixa"/>
  </r>
  <r>
    <d v="2026-10-10T00:00:00"/>
    <d v="2026-10-10T00:00:00"/>
    <x v="2"/>
    <x v="2"/>
    <x v="13"/>
    <m/>
    <n v="785"/>
    <s v="Condominio"/>
    <s v="Familia"/>
    <x v="1"/>
    <m/>
    <s v="Alta"/>
  </r>
  <r>
    <d v="2026-10-10T00:00:00"/>
    <d v="2026-10-10T00:00:00"/>
    <x v="2"/>
    <x v="2"/>
    <x v="12"/>
    <m/>
    <n v="3200"/>
    <s v="Aluguel"/>
    <s v="Familia"/>
    <x v="1"/>
    <m/>
    <s v="Alta"/>
  </r>
  <r>
    <d v="2026-10-10T00:00:00"/>
    <d v="2026-10-10T00:00:00"/>
    <x v="2"/>
    <x v="2"/>
    <x v="11"/>
    <m/>
    <n v="380"/>
    <s v="Curso de ingles"/>
    <s v="Marina Souza"/>
    <x v="1"/>
    <m/>
    <s v="Media"/>
  </r>
  <r>
    <d v="2026-10-12T00:00:00"/>
    <d v="2026-10-12T00:00:00"/>
    <x v="2"/>
    <x v="2"/>
    <x v="14"/>
    <m/>
    <n v="101.3"/>
    <s v="Conta de agua"/>
    <s v="Familia"/>
    <x v="1"/>
    <m/>
    <s v="Alta"/>
  </r>
  <r>
    <d v="2026-10-13T00:00:00"/>
    <d v="2026-10-13T00:00:00"/>
    <x v="2"/>
    <x v="2"/>
    <x v="5"/>
    <m/>
    <n v="495.2"/>
    <s v="Supermercado"/>
    <s v="Familia"/>
    <x v="1"/>
    <m/>
    <s v="Media"/>
  </r>
  <r>
    <d v="2026-10-14T00:00:00"/>
    <d v="2026-10-14T00:00:00"/>
    <x v="2"/>
    <x v="2"/>
    <x v="15"/>
    <m/>
    <n v="98"/>
    <s v="Cinema e passeios"/>
    <s v="Familia"/>
    <x v="1"/>
    <m/>
    <s v="Baixa"/>
  </r>
  <r>
    <d v="2026-10-15T00:00:00"/>
    <d v="2026-10-15T00:00:00"/>
    <x v="2"/>
    <x v="2"/>
    <x v="16"/>
    <m/>
    <n v="249.9"/>
    <s v="Conta de energia"/>
    <s v="Familia"/>
    <x v="1"/>
    <m/>
    <s v="Alta"/>
  </r>
  <r>
    <d v="2026-10-16T00:00:00"/>
    <d v="2026-10-16T00:00:00"/>
    <x v="2"/>
    <x v="2"/>
    <x v="8"/>
    <m/>
    <n v="86.4"/>
    <s v="Aplicativo de transporte"/>
    <s v="Marina Souza"/>
    <x v="1"/>
    <m/>
    <s v="Baixa"/>
  </r>
  <r>
    <d v="2026-10-18T00:00:00"/>
    <d v="2026-10-18T00:00:00"/>
    <x v="2"/>
    <x v="2"/>
    <x v="17"/>
    <m/>
    <n v="59.9"/>
    <s v="Plano celular"/>
    <s v="Marina Souza"/>
    <x v="1"/>
    <m/>
    <s v="Media"/>
  </r>
  <r>
    <d v="2026-10-18T00:00:00"/>
    <d v="2026-10-18T00:00:00"/>
    <x v="2"/>
    <x v="2"/>
    <x v="17"/>
    <m/>
    <n v="79.900000000000006"/>
    <s v="Plano celular"/>
    <s v="Alex Moreira"/>
    <x v="1"/>
    <m/>
    <s v="Media"/>
  </r>
  <r>
    <d v="2026-10-19T00:00:00"/>
    <d v="2026-10-19T00:00:00"/>
    <x v="2"/>
    <x v="2"/>
    <x v="10"/>
    <m/>
    <n v="164.2"/>
    <s v="Farmacia"/>
    <s v="Familia"/>
    <x v="1"/>
    <m/>
    <s v="Media"/>
  </r>
  <r>
    <d v="2026-10-20T00:00:00"/>
    <d v="2026-10-20T00:00:00"/>
    <x v="2"/>
    <x v="2"/>
    <x v="18"/>
    <m/>
    <n v="129.9"/>
    <s v="Internet fibra 500 Mb"/>
    <s v="Familia"/>
    <x v="1"/>
    <m/>
    <s v="Media"/>
  </r>
  <r>
    <d v="2026-10-21T00:00:00"/>
    <d v="2026-10-21T00:00:00"/>
    <x v="2"/>
    <x v="2"/>
    <x v="9"/>
    <m/>
    <n v="240"/>
    <s v="Almoco em familia"/>
    <s v="Familia"/>
    <x v="1"/>
    <m/>
    <s v="Baixa"/>
  </r>
  <r>
    <d v="2026-10-22T00:00:00"/>
    <d v="2026-10-22T00:00:00"/>
    <x v="2"/>
    <x v="2"/>
    <x v="8"/>
    <m/>
    <n v="301"/>
    <s v="Combustivel"/>
    <s v="Marina Souza"/>
    <x v="1"/>
    <m/>
    <s v="Media"/>
  </r>
  <r>
    <d v="2026-10-24T00:00:00"/>
    <d v="2026-10-24T00:00:00"/>
    <x v="2"/>
    <x v="2"/>
    <x v="5"/>
    <m/>
    <n v="689.4"/>
    <s v="Supermercado"/>
    <s v="Familia"/>
    <x v="1"/>
    <m/>
    <s v="Media"/>
  </r>
  <r>
    <d v="2026-10-25T00:00:00"/>
    <d v="2026-10-25T00:00:00"/>
    <x v="2"/>
    <x v="2"/>
    <x v="19"/>
    <m/>
    <n v="3261.8"/>
    <s v="Fatura do cartao"/>
    <s v="Familia"/>
    <x v="1"/>
    <m/>
    <s v="Alta"/>
  </r>
  <r>
    <d v="2026-10-26T00:00:00"/>
    <d v="2026-10-26T00:00:00"/>
    <x v="2"/>
    <x v="2"/>
    <x v="15"/>
    <m/>
    <n v="240"/>
    <s v="Fim de semana"/>
    <s v="Familia"/>
    <x v="1"/>
    <m/>
    <s v="Baixa"/>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d v="2026-08-05T00:00:00"/>
    <x v="0"/>
    <n v="46"/>
    <n v="1150"/>
    <n v="1.35"/>
    <n v="38000"/>
    <n v="31450"/>
    <x v="0"/>
  </r>
  <r>
    <d v="2026-08-05T00:00:00"/>
    <x v="0"/>
    <n v="59"/>
    <n v="780"/>
    <n v="1.7"/>
    <n v="28000"/>
    <n v="24300"/>
    <x v="1"/>
  </r>
  <r>
    <d v="2026-09-05T00:00:00"/>
    <x v="1"/>
    <n v="45"/>
    <n v="1150"/>
    <n v="1.35"/>
    <m/>
    <n v="30724"/>
    <x v="0"/>
  </r>
  <r>
    <d v="2026-09-05T00:00:00"/>
    <x v="1"/>
    <n v="58"/>
    <n v="780"/>
    <n v="1.7"/>
    <m/>
    <n v="23933"/>
    <x v="1"/>
  </r>
  <r>
    <d v="2026-10-05T00:00:00"/>
    <x v="2"/>
    <n v="44"/>
    <n v="1150"/>
    <n v="1.35"/>
    <m/>
    <n v="29989"/>
    <x v="0"/>
  </r>
  <r>
    <d v="2026-10-05T00:00:00"/>
    <x v="2"/>
    <n v="57"/>
    <n v="780"/>
    <n v="1.7"/>
    <m/>
    <n v="23560"/>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d v="2026-08-05T00:00:00"/>
    <d v="2026-08-05T00:00:00"/>
    <x v="0"/>
    <s v="RECEITA"/>
    <x v="0"/>
    <n v="5600"/>
    <m/>
    <s v="Salario mensal"/>
    <s v="Marina Souza"/>
    <s v="Realizado"/>
    <m/>
    <s v="Alta"/>
  </r>
  <r>
    <d v="2026-08-05T00:00:00"/>
    <d v="2026-08-05T00:00:00"/>
    <x v="0"/>
    <s v="RECEITA"/>
    <x v="0"/>
    <n v="9800"/>
    <m/>
    <s v="Salario mensal"/>
    <s v="Alex Moreira"/>
    <s v="Realizado"/>
    <m/>
    <s v="Alta"/>
  </r>
  <r>
    <d v="2026-08-15T00:00:00"/>
    <d v="2026-08-15T00:00:00"/>
    <x v="0"/>
    <s v="RECEITA"/>
    <x v="1"/>
    <n v="2500"/>
    <m/>
    <s v="Bonus semestral"/>
    <s v="Alex Moreira"/>
    <s v="Realizado"/>
    <s v="Valor liquido"/>
    <s v="Media"/>
  </r>
  <r>
    <d v="2026-08-18T00:00:00"/>
    <d v="2026-08-20T00:00:00"/>
    <x v="0"/>
    <s v="RECEITA"/>
    <x v="2"/>
    <n v="1450"/>
    <m/>
    <s v="Projeto freelance"/>
    <s v="Alex Moreira"/>
    <s v="Realizado"/>
    <m/>
    <s v="Media"/>
  </r>
  <r>
    <d v="2026-08-28T00:00:00"/>
    <d v="2026-08-28T00:00:00"/>
    <x v="0"/>
    <s v="RECEITA"/>
    <x v="3"/>
    <n v="312.39999999999998"/>
    <m/>
    <s v="Rendimentos da carteira"/>
    <s v="Familia"/>
    <s v="Realizado"/>
    <m/>
    <s v="Baixa"/>
  </r>
  <r>
    <d v="2026-08-06T00:00:00"/>
    <d v="2026-08-06T00:00:00"/>
    <x v="0"/>
    <s v="INVEST"/>
    <x v="4"/>
    <m/>
    <n v="1000"/>
    <s v="Aporte mensal - renda fixa"/>
    <s v="Alex Moreira"/>
    <s v="Realizado"/>
    <m/>
    <s v="Media"/>
  </r>
  <r>
    <d v="2026-08-20T00:00:00"/>
    <d v="2026-08-20T00:00:00"/>
    <x v="0"/>
    <s v="INVEST"/>
    <x v="4"/>
    <m/>
    <n v="500"/>
    <s v="Reserva de emergencia"/>
    <s v="Familia"/>
    <s v="Realizado"/>
    <m/>
    <s v="Media"/>
  </r>
  <r>
    <d v="2026-08-04T00:00:00"/>
    <d v="2026-08-04T00:00:00"/>
    <x v="0"/>
    <s v="DESPESA"/>
    <x v="5"/>
    <m/>
    <n v="612.29999999999995"/>
    <s v="Supermercado"/>
    <s v="Familia"/>
    <s v="Realizado"/>
    <s v="Compra do mes"/>
    <s v="Media"/>
  </r>
  <r>
    <d v="2026-08-05T00:00:00"/>
    <d v="2026-08-05T00:00:00"/>
    <x v="0"/>
    <s v="DESPESA"/>
    <x v="6"/>
    <m/>
    <n v="55.9"/>
    <s v="Streaming de video"/>
    <s v="Familia"/>
    <s v="Realizado"/>
    <m/>
    <s v="Baixa"/>
  </r>
  <r>
    <d v="2026-08-05T00:00:00"/>
    <d v="2026-08-05T00:00:00"/>
    <x v="0"/>
    <s v="DESPESA"/>
    <x v="7"/>
    <m/>
    <n v="1150"/>
    <s v="Parcela financiamento veiculo"/>
    <s v="Alex Moreira"/>
    <s v="Realizado"/>
    <s v="Parcela fixa"/>
    <s v="Alta"/>
  </r>
  <r>
    <d v="2026-08-05T00:00:00"/>
    <d v="2026-08-05T00:00:00"/>
    <x v="0"/>
    <s v="DESPESA"/>
    <x v="7"/>
    <m/>
    <n v="780"/>
    <s v="Parcela consignado"/>
    <s v="Alex Moreira"/>
    <s v="Realizado"/>
    <s v="Desconto em folha"/>
    <s v="Alta"/>
  </r>
  <r>
    <d v="2026-08-05T00:00:00"/>
    <d v="2026-08-05T00:00:00"/>
    <x v="0"/>
    <s v="DESPESA"/>
    <x v="6"/>
    <m/>
    <n v="21.9"/>
    <s v="Streaming de musica"/>
    <s v="Familia"/>
    <s v="Realizado"/>
    <m/>
    <s v="Baixa"/>
  </r>
  <r>
    <d v="2026-08-07T00:00:00"/>
    <d v="2026-08-07T00:00:00"/>
    <x v="0"/>
    <s v="DESPESA"/>
    <x v="8"/>
    <m/>
    <n v="320"/>
    <s v="Combustivel"/>
    <s v="Alex Moreira"/>
    <s v="Realizado"/>
    <m/>
    <s v="Media"/>
  </r>
  <r>
    <d v="2026-08-08T00:00:00"/>
    <d v="2026-08-08T00:00:00"/>
    <x v="0"/>
    <s v="DESPESA"/>
    <x v="9"/>
    <m/>
    <n v="185"/>
    <s v="Jantar fim de semana"/>
    <s v="Familia"/>
    <s v="Realizado"/>
    <m/>
    <s v="Baixa"/>
  </r>
  <r>
    <d v="2026-08-08T00:00:00"/>
    <d v="2026-08-08T00:00:00"/>
    <x v="0"/>
    <s v="DESPESA"/>
    <x v="10"/>
    <m/>
    <n v="689.9"/>
    <s v="Plano de saude"/>
    <s v="Familia"/>
    <s v="Realizado"/>
    <m/>
    <s v="Alta"/>
  </r>
  <r>
    <d v="2026-08-09T00:00:00"/>
    <d v="2026-08-09T00:00:00"/>
    <x v="0"/>
    <s v="DESPESA"/>
    <x v="6"/>
    <m/>
    <n v="14.9"/>
    <s v="Armazenamento em nuvem"/>
    <s v="Alex Moreira"/>
    <s v="Realizado"/>
    <m/>
    <s v="Baixa"/>
  </r>
  <r>
    <d v="2026-08-10T00:00:00"/>
    <d v="2026-08-10T00:00:00"/>
    <x v="0"/>
    <s v="DESPESA"/>
    <x v="11"/>
    <m/>
    <n v="380"/>
    <s v="Curso de ingles"/>
    <s v="Marina Souza"/>
    <s v="Realizado"/>
    <m/>
    <s v="Media"/>
  </r>
  <r>
    <d v="2026-08-10T00:00:00"/>
    <d v="2026-08-10T00:00:00"/>
    <x v="0"/>
    <s v="DESPESA"/>
    <x v="12"/>
    <m/>
    <n v="3200"/>
    <s v="Aluguel"/>
    <s v="Familia"/>
    <s v="Realizado"/>
    <m/>
    <s v="Alta"/>
  </r>
  <r>
    <d v="2026-08-10T00:00:00"/>
    <d v="2026-08-10T00:00:00"/>
    <x v="0"/>
    <s v="DESPESA"/>
    <x v="13"/>
    <m/>
    <n v="785"/>
    <s v="Condominio"/>
    <s v="Familia"/>
    <s v="Realizado"/>
    <m/>
    <s v="Alta"/>
  </r>
  <r>
    <d v="2026-08-12T00:00:00"/>
    <d v="2026-08-12T00:00:00"/>
    <x v="0"/>
    <s v="DESPESA"/>
    <x v="14"/>
    <m/>
    <n v="98.2"/>
    <s v="Conta de agua"/>
    <s v="Familia"/>
    <s v="Realizado"/>
    <m/>
    <s v="Alta"/>
  </r>
  <r>
    <d v="2026-08-13T00:00:00"/>
    <d v="2026-08-13T00:00:00"/>
    <x v="0"/>
    <s v="DESPESA"/>
    <x v="5"/>
    <m/>
    <n v="478.55"/>
    <s v="Supermercado"/>
    <s v="Familia"/>
    <s v="Realizado"/>
    <m/>
    <s v="Media"/>
  </r>
  <r>
    <d v="2026-08-14T00:00:00"/>
    <d v="2026-08-14T00:00:00"/>
    <x v="0"/>
    <s v="DESPESA"/>
    <x v="15"/>
    <m/>
    <n v="129"/>
    <s v="Cinema e passeios"/>
    <s v="Familia"/>
    <s v="Realizado"/>
    <m/>
    <s v="Baixa"/>
  </r>
  <r>
    <d v="2026-08-15T00:00:00"/>
    <d v="2026-08-15T00:00:00"/>
    <x v="0"/>
    <s v="DESPESA"/>
    <x v="16"/>
    <m/>
    <n v="238.4"/>
    <s v="Conta de energia"/>
    <s v="Familia"/>
    <s v="Realizado"/>
    <m/>
    <s v="Alta"/>
  </r>
  <r>
    <d v="2026-08-16T00:00:00"/>
    <d v="2026-08-16T00:00:00"/>
    <x v="0"/>
    <s v="DESPESA"/>
    <x v="8"/>
    <m/>
    <n v="86.4"/>
    <s v="Aplicativo de transporte"/>
    <s v="Marina Souza"/>
    <s v="Realizado"/>
    <m/>
    <s v="Baixa"/>
  </r>
  <r>
    <d v="2026-08-18T00:00:00"/>
    <d v="2026-08-18T00:00:00"/>
    <x v="0"/>
    <s v="DESPESA"/>
    <x v="17"/>
    <m/>
    <n v="79.900000000000006"/>
    <s v="Plano celular"/>
    <s v="Alex Moreira"/>
    <s v="Realizado"/>
    <m/>
    <s v="Media"/>
  </r>
  <r>
    <d v="2026-08-18T00:00:00"/>
    <d v="2026-08-18T00:00:00"/>
    <x v="0"/>
    <s v="DESPESA"/>
    <x v="17"/>
    <m/>
    <n v="59.9"/>
    <s v="Plano celular"/>
    <s v="Marina Souza"/>
    <s v="Realizado"/>
    <m/>
    <s v="Media"/>
  </r>
  <r>
    <d v="2026-08-19T00:00:00"/>
    <d v="2026-08-19T00:00:00"/>
    <x v="0"/>
    <s v="DESPESA"/>
    <x v="10"/>
    <m/>
    <n v="142.30000000000001"/>
    <s v="Farmacia"/>
    <s v="Familia"/>
    <s v="Realizado"/>
    <m/>
    <s v="Media"/>
  </r>
  <r>
    <d v="2026-08-20T00:00:00"/>
    <d v="2026-08-20T00:00:00"/>
    <x v="0"/>
    <s v="DESPESA"/>
    <x v="18"/>
    <m/>
    <n v="129.9"/>
    <s v="Internet fibra 500 Mb"/>
    <s v="Familia"/>
    <s v="Realizado"/>
    <m/>
    <s v="Media"/>
  </r>
  <r>
    <d v="2026-08-21T00:00:00"/>
    <d v="2026-08-21T00:00:00"/>
    <x v="0"/>
    <s v="DESPESA"/>
    <x v="9"/>
    <m/>
    <n v="240"/>
    <s v="Almoco em familia"/>
    <s v="Familia"/>
    <s v="Realizado"/>
    <m/>
    <s v="Baixa"/>
  </r>
  <r>
    <d v="2026-08-22T00:00:00"/>
    <d v="2026-08-22T00:00:00"/>
    <x v="0"/>
    <s v="DESPESA"/>
    <x v="8"/>
    <m/>
    <n v="290"/>
    <s v="Combustivel"/>
    <s v="Marina Souza"/>
    <s v="Realizado"/>
    <m/>
    <s v="Media"/>
  </r>
  <r>
    <d v="2026-08-24T00:00:00"/>
    <d v="2026-08-24T00:00:00"/>
    <x v="0"/>
    <s v="DESPESA"/>
    <x v="5"/>
    <m/>
    <n v="701.2"/>
    <s v="Supermercado"/>
    <s v="Familia"/>
    <s v="Realizado"/>
    <m/>
    <s v="Media"/>
  </r>
  <r>
    <d v="2026-08-25T00:00:00"/>
    <d v="2026-08-25T00:00:00"/>
    <x v="0"/>
    <s v="DESPESA"/>
    <x v="19"/>
    <m/>
    <n v="3184.6"/>
    <s v="Fatura do cartao"/>
    <s v="Familia"/>
    <s v="Realizado"/>
    <m/>
    <s v="Alta"/>
  </r>
  <r>
    <d v="2026-08-26T00:00:00"/>
    <d v="2026-08-26T00:00:00"/>
    <x v="0"/>
    <s v="DESPESA"/>
    <x v="15"/>
    <m/>
    <n v="210"/>
    <s v="Fim de semana"/>
    <s v="Familia"/>
    <s v="Realizado"/>
    <m/>
    <s v="Baixa"/>
  </r>
  <r>
    <d v="2026-09-05T00:00:00"/>
    <d v="2026-09-05T00:00:00"/>
    <x v="1"/>
    <s v="RECEITA"/>
    <x v="0"/>
    <n v="5600"/>
    <m/>
    <s v="Salario mensal"/>
    <s v="Marina Souza"/>
    <s v="Realizado"/>
    <m/>
    <s v="Alta"/>
  </r>
  <r>
    <d v="2026-09-05T00:00:00"/>
    <d v="2026-09-05T00:00:00"/>
    <x v="1"/>
    <s v="RECEITA"/>
    <x v="0"/>
    <n v="9800"/>
    <m/>
    <s v="Salario mensal"/>
    <s v="Alex Moreira"/>
    <s v="Realizado"/>
    <m/>
    <s v="Alta"/>
  </r>
  <r>
    <d v="2026-09-18T00:00:00"/>
    <d v="2026-09-20T00:00:00"/>
    <x v="1"/>
    <s v="RECEITA"/>
    <x v="2"/>
    <n v="2100"/>
    <m/>
    <s v="Projeto freelance"/>
    <s v="Alex Moreira"/>
    <s v="Realizado"/>
    <m/>
    <s v="Media"/>
  </r>
  <r>
    <d v="2026-09-28T00:00:00"/>
    <d v="2026-09-28T00:00:00"/>
    <x v="1"/>
    <s v="RECEITA"/>
    <x v="3"/>
    <n v="318.75"/>
    <m/>
    <s v="Rendimentos da carteira"/>
    <s v="Familia"/>
    <s v="Realizado"/>
    <m/>
    <s v="Baixa"/>
  </r>
  <r>
    <d v="2026-09-06T00:00:00"/>
    <d v="2026-09-06T00:00:00"/>
    <x v="1"/>
    <s v="INVEST"/>
    <x v="4"/>
    <m/>
    <n v="1000"/>
    <s v="Aporte mensal - renda fixa"/>
    <s v="Alex Moreira"/>
    <s v="Realizado"/>
    <m/>
    <s v="Media"/>
  </r>
  <r>
    <d v="2026-09-20T00:00:00"/>
    <d v="2026-09-20T00:00:00"/>
    <x v="1"/>
    <s v="INVEST"/>
    <x v="4"/>
    <m/>
    <n v="500"/>
    <s v="Reserva de emergencia"/>
    <s v="Familia"/>
    <s v="Realizado"/>
    <m/>
    <s v="Media"/>
  </r>
  <r>
    <d v="2026-09-04T00:00:00"/>
    <d v="2026-09-04T00:00:00"/>
    <x v="1"/>
    <s v="DESPESA"/>
    <x v="5"/>
    <m/>
    <n v="588.4"/>
    <s v="Supermercado"/>
    <s v="Familia"/>
    <s v="Realizado"/>
    <s v="Compra do mes"/>
    <s v="Media"/>
  </r>
  <r>
    <d v="2026-09-05T00:00:00"/>
    <d v="2026-09-05T00:00:00"/>
    <x v="1"/>
    <s v="DESPESA"/>
    <x v="7"/>
    <m/>
    <n v="1150"/>
    <s v="Parcela financiamento veiculo"/>
    <s v="Alex Moreira"/>
    <s v="Realizado"/>
    <s v="Parcela fixa"/>
    <s v="Alta"/>
  </r>
  <r>
    <d v="2026-09-05T00:00:00"/>
    <d v="2026-09-05T00:00:00"/>
    <x v="1"/>
    <s v="DESPESA"/>
    <x v="7"/>
    <m/>
    <n v="780"/>
    <s v="Parcela consignado"/>
    <s v="Alex Moreira"/>
    <s v="Realizado"/>
    <s v="Desconto em folha"/>
    <s v="Alta"/>
  </r>
  <r>
    <d v="2026-09-05T00:00:00"/>
    <d v="2026-09-05T00:00:00"/>
    <x v="1"/>
    <s v="DESPESA"/>
    <x v="6"/>
    <m/>
    <n v="55.9"/>
    <s v="Streaming de video"/>
    <s v="Familia"/>
    <s v="Realizado"/>
    <m/>
    <s v="Baixa"/>
  </r>
  <r>
    <d v="2026-09-05T00:00:00"/>
    <d v="2026-09-05T00:00:00"/>
    <x v="1"/>
    <s v="DESPESA"/>
    <x v="6"/>
    <m/>
    <n v="21.9"/>
    <s v="Streaming de musica"/>
    <s v="Familia"/>
    <s v="Realizado"/>
    <m/>
    <s v="Baixa"/>
  </r>
  <r>
    <d v="2026-09-07T00:00:00"/>
    <d v="2026-09-07T00:00:00"/>
    <x v="1"/>
    <s v="DESPESA"/>
    <x v="8"/>
    <m/>
    <n v="335"/>
    <s v="Combustivel"/>
    <s v="Alex Moreira"/>
    <s v="Realizado"/>
    <m/>
    <s v="Media"/>
  </r>
  <r>
    <d v="2026-09-08T00:00:00"/>
    <d v="2026-09-08T00:00:00"/>
    <x v="1"/>
    <s v="DESPESA"/>
    <x v="10"/>
    <m/>
    <n v="689.9"/>
    <s v="Plano de saude"/>
    <s v="Familia"/>
    <s v="Realizado"/>
    <m/>
    <s v="Alta"/>
  </r>
  <r>
    <d v="2026-09-08T00:00:00"/>
    <d v="2026-09-08T00:00:00"/>
    <x v="1"/>
    <s v="DESPESA"/>
    <x v="9"/>
    <m/>
    <n v="185"/>
    <s v="Jantar fim de semana"/>
    <s v="Familia"/>
    <s v="Realizado"/>
    <m/>
    <s v="Baixa"/>
  </r>
  <r>
    <d v="2026-09-09T00:00:00"/>
    <d v="2026-09-09T00:00:00"/>
    <x v="1"/>
    <s v="DESPESA"/>
    <x v="6"/>
    <m/>
    <n v="14.9"/>
    <s v="Armazenamento em nuvem"/>
    <s v="Alex Moreira"/>
    <s v="Realizado"/>
    <m/>
    <s v="Baixa"/>
  </r>
  <r>
    <d v="2026-09-10T00:00:00"/>
    <d v="2026-09-10T00:00:00"/>
    <x v="1"/>
    <s v="DESPESA"/>
    <x v="11"/>
    <m/>
    <n v="380"/>
    <s v="Curso de ingles"/>
    <s v="Marina Souza"/>
    <s v="Realizado"/>
    <m/>
    <s v="Media"/>
  </r>
  <r>
    <d v="2026-09-10T00:00:00"/>
    <d v="2026-09-10T00:00:00"/>
    <x v="1"/>
    <s v="DESPESA"/>
    <x v="13"/>
    <m/>
    <n v="785"/>
    <s v="Condominio"/>
    <s v="Familia"/>
    <s v="Realizado"/>
    <m/>
    <s v="Alta"/>
  </r>
  <r>
    <d v="2026-09-10T00:00:00"/>
    <d v="2026-09-10T00:00:00"/>
    <x v="1"/>
    <s v="DESPESA"/>
    <x v="12"/>
    <m/>
    <n v="3200"/>
    <s v="Aluguel"/>
    <s v="Familia"/>
    <s v="Realizado"/>
    <m/>
    <s v="Alta"/>
  </r>
  <r>
    <d v="2026-09-12T00:00:00"/>
    <d v="2026-09-12T00:00:00"/>
    <x v="1"/>
    <s v="DESPESA"/>
    <x v="14"/>
    <m/>
    <n v="104.6"/>
    <s v="Conta de agua"/>
    <s v="Familia"/>
    <s v="Realizado"/>
    <m/>
    <s v="Alta"/>
  </r>
  <r>
    <d v="2026-09-13T00:00:00"/>
    <d v="2026-09-13T00:00:00"/>
    <x v="1"/>
    <s v="DESPESA"/>
    <x v="5"/>
    <m/>
    <n v="512.1"/>
    <s v="Supermercado"/>
    <s v="Familia"/>
    <s v="Realizado"/>
    <m/>
    <s v="Media"/>
  </r>
  <r>
    <d v="2026-09-14T00:00:00"/>
    <d v="2026-09-14T00:00:00"/>
    <x v="1"/>
    <s v="DESPESA"/>
    <x v="15"/>
    <m/>
    <n v="189.9"/>
    <s v="Cinema e passeios"/>
    <s v="Familia"/>
    <s v="Realizado"/>
    <m/>
    <s v="Baixa"/>
  </r>
  <r>
    <d v="2026-09-15T00:00:00"/>
    <d v="2026-09-15T00:00:00"/>
    <x v="1"/>
    <s v="DESPESA"/>
    <x v="16"/>
    <m/>
    <n v="261.14999999999998"/>
    <s v="Conta de energia"/>
    <s v="Familia"/>
    <s v="Realizado"/>
    <m/>
    <s v="Alta"/>
  </r>
  <r>
    <d v="2026-09-16T00:00:00"/>
    <d v="2026-09-16T00:00:00"/>
    <x v="1"/>
    <s v="DESPESA"/>
    <x v="8"/>
    <m/>
    <n v="86.4"/>
    <s v="Aplicativo de transporte"/>
    <s v="Marina Souza"/>
    <s v="Realizado"/>
    <m/>
    <s v="Baixa"/>
  </r>
  <r>
    <d v="2026-09-18T00:00:00"/>
    <d v="2026-09-18T00:00:00"/>
    <x v="1"/>
    <s v="DESPESA"/>
    <x v="17"/>
    <m/>
    <n v="59.9"/>
    <s v="Plano celular"/>
    <s v="Marina Souza"/>
    <s v="Realizado"/>
    <m/>
    <s v="Media"/>
  </r>
  <r>
    <d v="2026-09-18T00:00:00"/>
    <d v="2026-09-18T00:00:00"/>
    <x v="1"/>
    <s v="DESPESA"/>
    <x v="17"/>
    <m/>
    <n v="79.900000000000006"/>
    <s v="Plano celular"/>
    <s v="Alex Moreira"/>
    <s v="Realizado"/>
    <m/>
    <s v="Media"/>
  </r>
  <r>
    <d v="2026-09-19T00:00:00"/>
    <d v="2026-09-19T00:00:00"/>
    <x v="1"/>
    <s v="DESPESA"/>
    <x v="10"/>
    <m/>
    <n v="87.9"/>
    <s v="Farmacia"/>
    <s v="Familia"/>
    <s v="Realizado"/>
    <m/>
    <s v="Media"/>
  </r>
  <r>
    <d v="2026-09-20T00:00:00"/>
    <d v="2026-09-20T00:00:00"/>
    <x v="1"/>
    <s v="DESPESA"/>
    <x v="18"/>
    <m/>
    <n v="129.9"/>
    <s v="Internet fibra 500 Mb"/>
    <s v="Familia"/>
    <s v="Realizado"/>
    <m/>
    <s v="Media"/>
  </r>
  <r>
    <d v="2026-09-21T00:00:00"/>
    <d v="2026-09-21T00:00:00"/>
    <x v="1"/>
    <s v="DESPESA"/>
    <x v="9"/>
    <m/>
    <n v="240"/>
    <s v="Almoco em familia"/>
    <s v="Familia"/>
    <s v="Realizado"/>
    <m/>
    <s v="Baixa"/>
  </r>
  <r>
    <d v="2026-09-22T00:00:00"/>
    <d v="2026-09-22T00:00:00"/>
    <x v="1"/>
    <s v="DESPESA"/>
    <x v="8"/>
    <m/>
    <n v="284"/>
    <s v="Combustivel"/>
    <s v="Marina Souza"/>
    <s v="Realizado"/>
    <m/>
    <s v="Media"/>
  </r>
  <r>
    <d v="2026-09-24T00:00:00"/>
    <d v="2026-09-24T00:00:00"/>
    <x v="1"/>
    <s v="DESPESA"/>
    <x v="5"/>
    <m/>
    <n v="655.85"/>
    <s v="Supermercado"/>
    <s v="Familia"/>
    <s v="Realizado"/>
    <m/>
    <s v="Media"/>
  </r>
  <r>
    <d v="2026-09-25T00:00:00"/>
    <d v="2026-09-25T00:00:00"/>
    <x v="1"/>
    <s v="DESPESA"/>
    <x v="19"/>
    <m/>
    <n v="3402.15"/>
    <s v="Fatura do cartao"/>
    <s v="Familia"/>
    <s v="Realizado"/>
    <m/>
    <s v="Alta"/>
  </r>
  <r>
    <d v="2026-09-26T00:00:00"/>
    <d v="2026-09-26T00:00:00"/>
    <x v="1"/>
    <s v="DESPESA"/>
    <x v="15"/>
    <m/>
    <n v="175.5"/>
    <s v="Fim de semana"/>
    <s v="Familia"/>
    <s v="Realizado"/>
    <m/>
    <s v="Baixa"/>
  </r>
  <r>
    <d v="2026-10-05T00:00:00"/>
    <d v="2026-10-05T00:00:00"/>
    <x v="2"/>
    <s v="RECEITA"/>
    <x v="0"/>
    <n v="5600"/>
    <m/>
    <s v="Salario mensal"/>
    <s v="Marina Souza"/>
    <s v="Realizado"/>
    <m/>
    <s v="Alta"/>
  </r>
  <r>
    <d v="2026-10-05T00:00:00"/>
    <d v="2026-10-05T00:00:00"/>
    <x v="2"/>
    <s v="RECEITA"/>
    <x v="0"/>
    <n v="9800"/>
    <m/>
    <s v="Salario mensal"/>
    <s v="Alex Moreira"/>
    <s v="Realizado"/>
    <m/>
    <s v="Alta"/>
  </r>
  <r>
    <d v="2026-10-18T00:00:00"/>
    <d v="2026-10-20T00:00:00"/>
    <x v="2"/>
    <s v="RECEITA"/>
    <x v="2"/>
    <n v="1800"/>
    <m/>
    <s v="Projeto freelance"/>
    <s v="Alex Moreira"/>
    <s v="Previsto"/>
    <m/>
    <s v="Media"/>
  </r>
  <r>
    <d v="2026-10-28T00:00:00"/>
    <d v="2026-10-28T00:00:00"/>
    <x v="2"/>
    <s v="RECEITA"/>
    <x v="3"/>
    <n v="325.10000000000002"/>
    <m/>
    <s v="Rendimentos da carteira"/>
    <s v="Familia"/>
    <s v="Previsto"/>
    <m/>
    <s v="Baixa"/>
  </r>
  <r>
    <d v="2026-10-06T00:00:00"/>
    <d v="2026-10-06T00:00:00"/>
    <x v="2"/>
    <s v="INVEST"/>
    <x v="4"/>
    <m/>
    <n v="1000"/>
    <s v="Aporte mensal - renda fixa"/>
    <s v="Alex Moreira"/>
    <s v="Previsto"/>
    <m/>
    <s v="Media"/>
  </r>
  <r>
    <d v="2026-10-20T00:00:00"/>
    <d v="2026-10-20T00:00:00"/>
    <x v="2"/>
    <s v="INVEST"/>
    <x v="4"/>
    <m/>
    <n v="500"/>
    <s v="Reserva de emergencia"/>
    <s v="Familia"/>
    <s v="Previsto"/>
    <m/>
    <s v="Media"/>
  </r>
  <r>
    <d v="2026-10-04T00:00:00"/>
    <d v="2026-10-04T00:00:00"/>
    <x v="2"/>
    <s v="DESPESA"/>
    <x v="5"/>
    <m/>
    <n v="634.75"/>
    <s v="Supermercado"/>
    <s v="Familia"/>
    <s v="Realizado"/>
    <s v="Compra do mes"/>
    <s v="Media"/>
  </r>
  <r>
    <d v="2026-10-05T00:00:00"/>
    <d v="2026-10-05T00:00:00"/>
    <x v="2"/>
    <s v="DESPESA"/>
    <x v="6"/>
    <m/>
    <n v="21.9"/>
    <s v="Streaming de musica"/>
    <s v="Familia"/>
    <s v="Realizado"/>
    <m/>
    <s v="Baixa"/>
  </r>
  <r>
    <d v="2026-10-05T00:00:00"/>
    <d v="2026-10-05T00:00:00"/>
    <x v="2"/>
    <s v="DESPESA"/>
    <x v="7"/>
    <m/>
    <n v="1150"/>
    <s v="Parcela financiamento veiculo"/>
    <s v="Alex Moreira"/>
    <s v="Realizado"/>
    <s v="Parcela fixa"/>
    <s v="Alta"/>
  </r>
  <r>
    <d v="2026-10-05T00:00:00"/>
    <d v="2026-10-05T00:00:00"/>
    <x v="2"/>
    <s v="DESPESA"/>
    <x v="6"/>
    <m/>
    <n v="55.9"/>
    <s v="Streaming de video"/>
    <s v="Familia"/>
    <s v="Realizado"/>
    <m/>
    <s v="Baixa"/>
  </r>
  <r>
    <d v="2026-10-05T00:00:00"/>
    <d v="2026-10-05T00:00:00"/>
    <x v="2"/>
    <s v="DESPESA"/>
    <x v="7"/>
    <m/>
    <n v="780"/>
    <s v="Parcela consignado"/>
    <s v="Alex Moreira"/>
    <s v="Realizado"/>
    <s v="Desconto em folha"/>
    <s v="Alta"/>
  </r>
  <r>
    <d v="2026-10-07T00:00:00"/>
    <d v="2026-10-07T00:00:00"/>
    <x v="2"/>
    <s v="DESPESA"/>
    <x v="8"/>
    <m/>
    <n v="318"/>
    <s v="Combustivel"/>
    <s v="Alex Moreira"/>
    <s v="Previsto"/>
    <m/>
    <s v="Media"/>
  </r>
  <r>
    <d v="2026-10-08T00:00:00"/>
    <d v="2026-10-08T00:00:00"/>
    <x v="2"/>
    <s v="DESPESA"/>
    <x v="10"/>
    <m/>
    <n v="689.9"/>
    <s v="Plano de saude"/>
    <s v="Familia"/>
    <s v="Previsto"/>
    <m/>
    <s v="Alta"/>
  </r>
  <r>
    <d v="2026-10-08T00:00:00"/>
    <d v="2026-10-08T00:00:00"/>
    <x v="2"/>
    <s v="DESPESA"/>
    <x v="9"/>
    <m/>
    <n v="185"/>
    <s v="Jantar fim de semana"/>
    <s v="Familia"/>
    <s v="Previsto"/>
    <m/>
    <s v="Baixa"/>
  </r>
  <r>
    <d v="2026-10-09T00:00:00"/>
    <d v="2026-10-09T00:00:00"/>
    <x v="2"/>
    <s v="DESPESA"/>
    <x v="6"/>
    <m/>
    <n v="14.9"/>
    <s v="Armazenamento em nuvem"/>
    <s v="Alex Moreira"/>
    <s v="Previsto"/>
    <m/>
    <s v="Baixa"/>
  </r>
  <r>
    <d v="2026-10-10T00:00:00"/>
    <d v="2026-10-10T00:00:00"/>
    <x v="2"/>
    <s v="DESPESA"/>
    <x v="13"/>
    <m/>
    <n v="785"/>
    <s v="Condominio"/>
    <s v="Familia"/>
    <s v="Previsto"/>
    <m/>
    <s v="Alta"/>
  </r>
  <r>
    <d v="2026-10-10T00:00:00"/>
    <d v="2026-10-10T00:00:00"/>
    <x v="2"/>
    <s v="DESPESA"/>
    <x v="12"/>
    <m/>
    <n v="3200"/>
    <s v="Aluguel"/>
    <s v="Familia"/>
    <s v="Previsto"/>
    <m/>
    <s v="Alta"/>
  </r>
  <r>
    <d v="2026-10-10T00:00:00"/>
    <d v="2026-10-10T00:00:00"/>
    <x v="2"/>
    <s v="DESPESA"/>
    <x v="11"/>
    <m/>
    <n v="380"/>
    <s v="Curso de ingles"/>
    <s v="Marina Souza"/>
    <s v="Previsto"/>
    <m/>
    <s v="Media"/>
  </r>
  <r>
    <d v="2026-10-12T00:00:00"/>
    <d v="2026-10-12T00:00:00"/>
    <x v="2"/>
    <s v="DESPESA"/>
    <x v="14"/>
    <m/>
    <n v="101.3"/>
    <s v="Conta de agua"/>
    <s v="Familia"/>
    <s v="Previsto"/>
    <m/>
    <s v="Alta"/>
  </r>
  <r>
    <d v="2026-10-13T00:00:00"/>
    <d v="2026-10-13T00:00:00"/>
    <x v="2"/>
    <s v="DESPESA"/>
    <x v="5"/>
    <m/>
    <n v="495.2"/>
    <s v="Supermercado"/>
    <s v="Familia"/>
    <s v="Previsto"/>
    <m/>
    <s v="Media"/>
  </r>
  <r>
    <d v="2026-10-14T00:00:00"/>
    <d v="2026-10-14T00:00:00"/>
    <x v="2"/>
    <s v="DESPESA"/>
    <x v="15"/>
    <m/>
    <n v="98"/>
    <s v="Cinema e passeios"/>
    <s v="Familia"/>
    <s v="Previsto"/>
    <m/>
    <s v="Baixa"/>
  </r>
  <r>
    <d v="2026-10-15T00:00:00"/>
    <d v="2026-10-15T00:00:00"/>
    <x v="2"/>
    <s v="DESPESA"/>
    <x v="16"/>
    <m/>
    <n v="249.9"/>
    <s v="Conta de energia"/>
    <s v="Familia"/>
    <s v="Previsto"/>
    <m/>
    <s v="Alta"/>
  </r>
  <r>
    <d v="2026-10-16T00:00:00"/>
    <d v="2026-10-16T00:00:00"/>
    <x v="2"/>
    <s v="DESPESA"/>
    <x v="8"/>
    <m/>
    <n v="86.4"/>
    <s v="Aplicativo de transporte"/>
    <s v="Marina Souza"/>
    <s v="Previsto"/>
    <m/>
    <s v="Baixa"/>
  </r>
  <r>
    <d v="2026-10-18T00:00:00"/>
    <d v="2026-10-18T00:00:00"/>
    <x v="2"/>
    <s v="DESPESA"/>
    <x v="17"/>
    <m/>
    <n v="59.9"/>
    <s v="Plano celular"/>
    <s v="Marina Souza"/>
    <s v="Previsto"/>
    <m/>
    <s v="Media"/>
  </r>
  <r>
    <d v="2026-10-18T00:00:00"/>
    <d v="2026-10-18T00:00:00"/>
    <x v="2"/>
    <s v="DESPESA"/>
    <x v="17"/>
    <m/>
    <n v="79.900000000000006"/>
    <s v="Plano celular"/>
    <s v="Alex Moreira"/>
    <s v="Previsto"/>
    <m/>
    <s v="Media"/>
  </r>
  <r>
    <d v="2026-10-19T00:00:00"/>
    <d v="2026-10-19T00:00:00"/>
    <x v="2"/>
    <s v="DESPESA"/>
    <x v="10"/>
    <m/>
    <n v="164.2"/>
    <s v="Farmacia"/>
    <s v="Familia"/>
    <s v="Previsto"/>
    <m/>
    <s v="Media"/>
  </r>
  <r>
    <d v="2026-10-20T00:00:00"/>
    <d v="2026-10-20T00:00:00"/>
    <x v="2"/>
    <s v="DESPESA"/>
    <x v="18"/>
    <m/>
    <n v="129.9"/>
    <s v="Internet fibra 500 Mb"/>
    <s v="Familia"/>
    <s v="Previsto"/>
    <m/>
    <s v="Media"/>
  </r>
  <r>
    <d v="2026-10-21T00:00:00"/>
    <d v="2026-10-21T00:00:00"/>
    <x v="2"/>
    <s v="DESPESA"/>
    <x v="9"/>
    <m/>
    <n v="240"/>
    <s v="Almoco em familia"/>
    <s v="Familia"/>
    <s v="Previsto"/>
    <m/>
    <s v="Baixa"/>
  </r>
  <r>
    <d v="2026-10-22T00:00:00"/>
    <d v="2026-10-22T00:00:00"/>
    <x v="2"/>
    <s v="DESPESA"/>
    <x v="8"/>
    <m/>
    <n v="301"/>
    <s v="Combustivel"/>
    <s v="Marina Souza"/>
    <s v="Previsto"/>
    <m/>
    <s v="Media"/>
  </r>
  <r>
    <d v="2026-10-24T00:00:00"/>
    <d v="2026-10-24T00:00:00"/>
    <x v="2"/>
    <s v="DESPESA"/>
    <x v="5"/>
    <m/>
    <n v="689.4"/>
    <s v="Supermercado"/>
    <s v="Familia"/>
    <s v="Previsto"/>
    <m/>
    <s v="Media"/>
  </r>
  <r>
    <d v="2026-10-25T00:00:00"/>
    <d v="2026-10-25T00:00:00"/>
    <x v="2"/>
    <s v="DESPESA"/>
    <x v="19"/>
    <m/>
    <n v="3261.8"/>
    <s v="Fatura do cartao"/>
    <s v="Familia"/>
    <s v="Previsto"/>
    <m/>
    <s v="Alta"/>
  </r>
  <r>
    <d v="2026-10-26T00:00:00"/>
    <d v="2026-10-26T00:00:00"/>
    <x v="2"/>
    <s v="DESPESA"/>
    <x v="15"/>
    <m/>
    <n v="240"/>
    <s v="Fim de semana"/>
    <s v="Familia"/>
    <s v="Previsto"/>
    <m/>
    <s v="Baix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ACE8C1-9A41-41A0-9AFB-ECD3EE8D02CB}" name="Tabela dinâmica8" cacheId="9" applyNumberFormats="0" applyBorderFormats="0" applyFontFormats="0" applyPatternFormats="0" applyAlignmentFormats="0" applyWidthHeightFormats="1" dataCaption="Valores" updatedVersion="8" minRefreshableVersion="3" itemPrintTitles="1" createdVersion="8" indent="0" outline="1" outlineData="1" multipleFieldFilters="0">
  <location ref="AA51:AD56" firstHeaderRow="1" firstDataRow="2" firstDataCol="1"/>
  <pivotFields count="15">
    <pivotField numFmtId="14" showAll="0"/>
    <pivotField numFmtId="14" showAll="0"/>
    <pivotField axis="axisRow" numFmtId="17" showAll="0">
      <items count="4">
        <item x="0"/>
        <item x="1"/>
        <item x="2"/>
        <item t="default"/>
      </items>
    </pivotField>
    <pivotField showAll="0"/>
    <pivotField showAll="0"/>
    <pivotField showAll="0"/>
    <pivotField dataField="1" showAll="0"/>
    <pivotField showAll="0"/>
    <pivotField showAll="0"/>
    <pivotField axis="axisCol" showAll="0">
      <items count="3">
        <item x="1"/>
        <item x="0"/>
        <item t="default"/>
      </items>
    </pivotField>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2"/>
  </rowFields>
  <rowItems count="4">
    <i>
      <x/>
    </i>
    <i>
      <x v="1"/>
    </i>
    <i>
      <x v="2"/>
    </i>
    <i t="grand">
      <x/>
    </i>
  </rowItems>
  <colFields count="1">
    <field x="9"/>
  </colFields>
  <colItems count="3">
    <i>
      <x/>
    </i>
    <i>
      <x v="1"/>
    </i>
    <i t="grand">
      <x/>
    </i>
  </colItems>
  <dataFields count="1">
    <dataField name="Soma de VlrDespesa" fld="6" baseField="0" baseItem="0" numFmtId="165"/>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BE527B-4926-4B21-BBA7-E86D38A70B5F}" name="Tabela dinâmica14" cacheId="9" applyNumberFormats="0" applyBorderFormats="0" applyFontFormats="0" applyPatternFormats="0" applyAlignmentFormats="0" applyWidthHeightFormats="1" dataCaption="Valores" updatedVersion="8" minRefreshableVersion="3" itemPrintTitles="1" createdVersion="8" indent="0" outline="1" outlineData="1" multipleFieldFilters="0" chartFormat="14">
  <location ref="X8:Y19" firstHeaderRow="1" firstDataRow="1" firstDataCol="1" rowPageCount="1" colPageCount="1"/>
  <pivotFields count="15">
    <pivotField numFmtId="14" showAll="0"/>
    <pivotField numFmtId="14" showAll="0"/>
    <pivotField numFmtId="17" showAll="0">
      <items count="4">
        <item x="0"/>
        <item x="1"/>
        <item x="2"/>
        <item t="default"/>
      </items>
    </pivotField>
    <pivotField axis="axisPage" showAll="0">
      <items count="4">
        <item x="2"/>
        <item x="0"/>
        <item x="1"/>
        <item t="default"/>
      </items>
    </pivotField>
    <pivotField axis="axisRow" showAll="0" measureFilter="1" sortType="descending">
      <items count="21">
        <item x="6"/>
        <item x="19"/>
        <item x="17"/>
        <item x="13"/>
        <item x="14"/>
        <item x="18"/>
        <item x="2"/>
        <item x="0"/>
        <item x="4"/>
        <item x="16"/>
        <item x="1"/>
        <item x="3"/>
        <item x="5"/>
        <item x="7"/>
        <item x="8"/>
        <item x="9"/>
        <item x="10"/>
        <item x="11"/>
        <item x="12"/>
        <item x="15"/>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3">
        <item x="1"/>
        <item x="0"/>
        <item t="default"/>
      </items>
    </pivotField>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4"/>
  </rowFields>
  <rowItems count="11">
    <i>
      <x v="1"/>
    </i>
    <i>
      <x v="18"/>
    </i>
    <i>
      <x v="13"/>
    </i>
    <i>
      <x v="12"/>
    </i>
    <i>
      <x v="16"/>
    </i>
    <i>
      <x v="3"/>
    </i>
    <i>
      <x v="14"/>
    </i>
    <i>
      <x v="15"/>
    </i>
    <i>
      <x v="17"/>
    </i>
    <i>
      <x v="19"/>
    </i>
    <i t="grand">
      <x/>
    </i>
  </rowItems>
  <colItems count="1">
    <i/>
  </colItems>
  <pageFields count="1">
    <pageField fld="3" item="0" hier="-1"/>
  </pageFields>
  <dataFields count="1">
    <dataField name="Soma de VlrDespesa" fld="6" baseField="0" baseItem="0" numFmtId="165"/>
  </dataFields>
  <formats count="1">
    <format dxfId="1">
      <pivotArea outline="0" collapsedLevelsAreSubtotals="1" fieldPosition="0"/>
    </format>
  </formats>
  <chartFormats count="16">
    <chartFormat chart="13" format="2" series="1">
      <pivotArea type="data" outline="0" fieldPosition="0">
        <references count="1">
          <reference field="4294967294" count="1" selected="0">
            <x v="0"/>
          </reference>
        </references>
      </pivotArea>
    </chartFormat>
    <chartFormat chart="13" format="4">
      <pivotArea type="data" outline="0" fieldPosition="0">
        <references count="2">
          <reference field="4294967294" count="1" selected="0">
            <x v="0"/>
          </reference>
          <reference field="4" count="1" selected="0">
            <x v="4"/>
          </reference>
        </references>
      </pivotArea>
    </chartFormat>
    <chartFormat chart="13" format="6">
      <pivotArea type="data" outline="0" fieldPosition="0">
        <references count="2">
          <reference field="4294967294" count="1" selected="0">
            <x v="0"/>
          </reference>
          <reference field="4" count="1" selected="0">
            <x v="1"/>
          </reference>
        </references>
      </pivotArea>
    </chartFormat>
    <chartFormat chart="13" format="7">
      <pivotArea type="data" outline="0" fieldPosition="0">
        <references count="2">
          <reference field="4294967294" count="1" selected="0">
            <x v="0"/>
          </reference>
          <reference field="4" count="1" selected="0">
            <x v="3"/>
          </reference>
        </references>
      </pivotArea>
    </chartFormat>
    <chartFormat chart="13" format="8">
      <pivotArea type="data" outline="0" fieldPosition="0">
        <references count="2">
          <reference field="4294967294" count="1" selected="0">
            <x v="0"/>
          </reference>
          <reference field="4" count="1" selected="0">
            <x v="5"/>
          </reference>
        </references>
      </pivotArea>
    </chartFormat>
    <chartFormat chart="13" format="9">
      <pivotArea type="data" outline="0" fieldPosition="0">
        <references count="2">
          <reference field="4294967294" count="1" selected="0">
            <x v="0"/>
          </reference>
          <reference field="4" count="1" selected="0">
            <x v="0"/>
          </reference>
        </references>
      </pivotArea>
    </chartFormat>
    <chartFormat chart="13" format="10">
      <pivotArea type="data" outline="0" fieldPosition="0">
        <references count="2">
          <reference field="4294967294" count="1" selected="0">
            <x v="0"/>
          </reference>
          <reference field="4" count="1" selected="0">
            <x v="2"/>
          </reference>
        </references>
      </pivotArea>
    </chartFormat>
    <chartFormat chart="13" format="13">
      <pivotArea type="data" outline="0" fieldPosition="0">
        <references count="2">
          <reference field="4294967294" count="1" selected="0">
            <x v="0"/>
          </reference>
          <reference field="4" count="1" selected="0">
            <x v="9"/>
          </reference>
        </references>
      </pivotArea>
    </chartFormat>
    <chartFormat chart="13" format="14">
      <pivotArea type="data" outline="0" fieldPosition="0">
        <references count="2">
          <reference field="4294967294" count="1" selected="0">
            <x v="0"/>
          </reference>
          <reference field="4" count="1" selected="0">
            <x v="19"/>
          </reference>
        </references>
      </pivotArea>
    </chartFormat>
    <chartFormat chart="13" format="15">
      <pivotArea type="data" outline="0" fieldPosition="0">
        <references count="2">
          <reference field="4294967294" count="1" selected="0">
            <x v="0"/>
          </reference>
          <reference field="4" count="1" selected="0">
            <x v="17"/>
          </reference>
        </references>
      </pivotArea>
    </chartFormat>
    <chartFormat chart="13" format="16">
      <pivotArea type="data" outline="0" fieldPosition="0">
        <references count="2">
          <reference field="4294967294" count="1" selected="0">
            <x v="0"/>
          </reference>
          <reference field="4" count="1" selected="0">
            <x v="15"/>
          </reference>
        </references>
      </pivotArea>
    </chartFormat>
    <chartFormat chart="13" format="17">
      <pivotArea type="data" outline="0" fieldPosition="0">
        <references count="2">
          <reference field="4294967294" count="1" selected="0">
            <x v="0"/>
          </reference>
          <reference field="4" count="1" selected="0">
            <x v="14"/>
          </reference>
        </references>
      </pivotArea>
    </chartFormat>
    <chartFormat chart="13" format="18">
      <pivotArea type="data" outline="0" fieldPosition="0">
        <references count="2">
          <reference field="4294967294" count="1" selected="0">
            <x v="0"/>
          </reference>
          <reference field="4" count="1" selected="0">
            <x v="16"/>
          </reference>
        </references>
      </pivotArea>
    </chartFormat>
    <chartFormat chart="13" format="19">
      <pivotArea type="data" outline="0" fieldPosition="0">
        <references count="2">
          <reference field="4294967294" count="1" selected="0">
            <x v="0"/>
          </reference>
          <reference field="4" count="1" selected="0">
            <x v="12"/>
          </reference>
        </references>
      </pivotArea>
    </chartFormat>
    <chartFormat chart="13" format="20">
      <pivotArea type="data" outline="0" fieldPosition="0">
        <references count="2">
          <reference field="4294967294" count="1" selected="0">
            <x v="0"/>
          </reference>
          <reference field="4" count="1" selected="0">
            <x v="13"/>
          </reference>
        </references>
      </pivotArea>
    </chartFormat>
    <chartFormat chart="13" format="21">
      <pivotArea type="data" outline="0" fieldPosition="0">
        <references count="2">
          <reference field="4294967294" count="1" selected="0">
            <x v="0"/>
          </reference>
          <reference field="4" count="1" selected="0">
            <x v="18"/>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6A3E2BC-F782-42E6-ADBB-548F2A4A25F4}" name="Tabela dinâmica6" cacheId="9" applyNumberFormats="0" applyBorderFormats="0" applyFontFormats="0" applyPatternFormats="0" applyAlignmentFormats="0" applyWidthHeightFormats="1" dataCaption="Valores" updatedVersion="8" minRefreshableVersion="3" itemPrintTitles="1" createdVersion="8" indent="0" outline="1" outlineData="1" multipleFieldFilters="0">
  <location ref="J9:M13" firstHeaderRow="0" firstDataRow="1" firstDataCol="1"/>
  <pivotFields count="15">
    <pivotField numFmtId="14" showAll="0"/>
    <pivotField numFmtId="14" showAll="0"/>
    <pivotField axis="axisRow" numFmtId="17" showAll="0">
      <items count="4">
        <item x="0"/>
        <item x="1"/>
        <item x="2"/>
        <item t="default"/>
      </items>
    </pivotField>
    <pivotField showAll="0"/>
    <pivotField showAll="0"/>
    <pivotField dataField="1" showAll="0"/>
    <pivotField dataField="1" showAll="0"/>
    <pivotField showAll="0"/>
    <pivotField showAll="0"/>
    <pivotField showAll="0">
      <items count="3">
        <item x="1"/>
        <item x="0"/>
        <item t="default"/>
      </items>
    </pivotField>
    <pivotField showAll="0"/>
    <pivotField showAll="0"/>
    <pivotField dataField="1" dragToRow="0" dragToCol="0" dragToPage="0" showAll="0" defaultSubtotal="0"/>
    <pivotField dragToRow="0" dragToCol="0" dragToPage="0" showAll="0" defaultSubtotal="0"/>
    <pivotField dragToRow="0" dragToCol="0" dragToPage="0" showAll="0" defaultSubtotal="0"/>
  </pivotFields>
  <rowFields count="1">
    <field x="2"/>
  </rowFields>
  <rowItems count="4">
    <i>
      <x/>
    </i>
    <i>
      <x v="1"/>
    </i>
    <i>
      <x v="2"/>
    </i>
    <i t="grand">
      <x/>
    </i>
  </rowItems>
  <colFields count="1">
    <field x="-2"/>
  </colFields>
  <colItems count="3">
    <i>
      <x/>
    </i>
    <i i="1">
      <x v="1"/>
    </i>
    <i i="2">
      <x v="2"/>
    </i>
  </colItems>
  <dataFields count="3">
    <dataField name="Soma de VlrReceita" fld="5" baseField="0" baseItem="0"/>
    <dataField name="Soma de VlrDespesa" fld="6" baseField="0" baseItem="0"/>
    <dataField name="Soma de Saldo" fld="12"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C73158F-96E4-4223-B484-06E8CBC32802}" name="Tabela dinâmica13" cacheId="9" applyNumberFormats="0" applyBorderFormats="0" applyFontFormats="0" applyPatternFormats="0" applyAlignmentFormats="0" applyWidthHeightFormats="1" dataCaption="Valores" updatedVersion="8" minRefreshableVersion="3" itemPrintTitles="1" createdVersion="8" indent="0" outline="1" outlineData="1" multipleFieldFilters="0" chartFormat="11">
  <location ref="U8:V19" firstHeaderRow="1" firstDataRow="1" firstDataCol="1" rowPageCount="1" colPageCount="1"/>
  <pivotFields count="15">
    <pivotField numFmtId="14" showAll="0"/>
    <pivotField numFmtId="14" showAll="0"/>
    <pivotField numFmtId="17" showAll="0">
      <items count="4">
        <item x="0"/>
        <item x="1"/>
        <item x="2"/>
        <item t="default"/>
      </items>
    </pivotField>
    <pivotField axis="axisPage" showAll="0">
      <items count="4">
        <item x="2"/>
        <item x="0"/>
        <item x="1"/>
        <item t="default"/>
      </items>
    </pivotField>
    <pivotField axis="axisRow" showAll="0" measureFilter="1" sortType="descending">
      <items count="21">
        <item x="6"/>
        <item x="19"/>
        <item x="17"/>
        <item x="13"/>
        <item x="14"/>
        <item x="18"/>
        <item x="2"/>
        <item x="0"/>
        <item x="4"/>
        <item x="16"/>
        <item x="1"/>
        <item x="3"/>
        <item x="5"/>
        <item x="7"/>
        <item x="8"/>
        <item x="9"/>
        <item x="10"/>
        <item x="11"/>
        <item x="12"/>
        <item x="1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3">
        <item x="1"/>
        <item x="0"/>
        <item t="default"/>
      </items>
    </pivotField>
    <pivotField showAll="0"/>
    <pivotField showAll="0"/>
    <pivotField dragToRow="0" dragToCol="0" dragToPage="0" showAll="0" defaultSubtotal="0"/>
    <pivotField dragToRow="0" dragToCol="0" dragToPage="0" showAll="0" defaultSubtotal="0"/>
    <pivotField dataField="1" dragToRow="0" dragToCol="0" dragToPage="0" showAll="0" defaultSubtotal="0"/>
  </pivotFields>
  <rowFields count="1">
    <field x="4"/>
  </rowFields>
  <rowItems count="11">
    <i>
      <x v="1"/>
    </i>
    <i>
      <x v="18"/>
    </i>
    <i>
      <x v="13"/>
    </i>
    <i>
      <x v="12"/>
    </i>
    <i>
      <x v="16"/>
    </i>
    <i>
      <x v="3"/>
    </i>
    <i>
      <x v="14"/>
    </i>
    <i>
      <x v="15"/>
    </i>
    <i>
      <x v="17"/>
    </i>
    <i>
      <x v="19"/>
    </i>
    <i t="grand">
      <x/>
    </i>
  </rowItems>
  <colItems count="1">
    <i/>
  </colItems>
  <pageFields count="1">
    <pageField fld="3" item="0" hier="-1"/>
  </pageFields>
  <dataFields count="1">
    <dataField name="Soma de PercDespesa" fld="14" showDataAs="percentOfTotal" baseField="4" baseItem="1" numFmtId="10"/>
  </dataFields>
  <formats count="1">
    <format dxfId="3">
      <pivotArea collapsedLevelsAreSubtotals="1" fieldPosition="0">
        <references count="2">
          <reference field="4294967294" count="1" selected="0">
            <x v="0"/>
          </reference>
          <reference field="4" count="6">
            <x v="0"/>
            <x v="1"/>
            <x v="2"/>
            <x v="3"/>
            <x v="4"/>
            <x v="5"/>
          </reference>
        </references>
      </pivotArea>
    </format>
  </formats>
  <chartFormats count="19">
    <chartFormat chart="3" format="1"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0" format="5">
      <pivotArea type="data" outline="0" fieldPosition="0">
        <references count="2">
          <reference field="4294967294" count="1" selected="0">
            <x v="0"/>
          </reference>
          <reference field="4" count="1" selected="0">
            <x v="4"/>
          </reference>
        </references>
      </pivotArea>
    </chartFormat>
    <chartFormat chart="10" format="7">
      <pivotArea type="data" outline="0" fieldPosition="0">
        <references count="2">
          <reference field="4294967294" count="1" selected="0">
            <x v="0"/>
          </reference>
          <reference field="4" count="1" selected="0">
            <x v="0"/>
          </reference>
        </references>
      </pivotArea>
    </chartFormat>
    <chartFormat chart="10" format="8">
      <pivotArea type="data" outline="0" fieldPosition="0">
        <references count="2">
          <reference field="4294967294" count="1" selected="0">
            <x v="0"/>
          </reference>
          <reference field="4" count="1" selected="0">
            <x v="1"/>
          </reference>
        </references>
      </pivotArea>
    </chartFormat>
    <chartFormat chart="10" format="9">
      <pivotArea type="data" outline="0" fieldPosition="0">
        <references count="2">
          <reference field="4294967294" count="1" selected="0">
            <x v="0"/>
          </reference>
          <reference field="4" count="1" selected="0">
            <x v="2"/>
          </reference>
        </references>
      </pivotArea>
    </chartFormat>
    <chartFormat chart="10" format="10">
      <pivotArea type="data" outline="0" fieldPosition="0">
        <references count="2">
          <reference field="4294967294" count="1" selected="0">
            <x v="0"/>
          </reference>
          <reference field="4" count="1" selected="0">
            <x v="3"/>
          </reference>
        </references>
      </pivotArea>
    </chartFormat>
    <chartFormat chart="10" format="12">
      <pivotArea type="data" outline="0" fieldPosition="0">
        <references count="2">
          <reference field="4294967294" count="1" selected="0">
            <x v="0"/>
          </reference>
          <reference field="4" count="1" selected="0">
            <x v="5"/>
          </reference>
        </references>
      </pivotArea>
    </chartFormat>
    <chartFormat chart="10" format="14">
      <pivotArea type="data" outline="0" fieldPosition="0">
        <references count="2">
          <reference field="4294967294" count="1" selected="0">
            <x v="0"/>
          </reference>
          <reference field="4" count="1" selected="0">
            <x v="9"/>
          </reference>
        </references>
      </pivotArea>
    </chartFormat>
    <chartFormat chart="10" format="18">
      <pivotArea type="data" outline="0" fieldPosition="0">
        <references count="2">
          <reference field="4294967294" count="1" selected="0">
            <x v="0"/>
          </reference>
          <reference field="4" count="1" selected="0">
            <x v="12"/>
          </reference>
        </references>
      </pivotArea>
    </chartFormat>
    <chartFormat chart="10" format="19">
      <pivotArea type="data" outline="0" fieldPosition="0">
        <references count="2">
          <reference field="4294967294" count="1" selected="0">
            <x v="0"/>
          </reference>
          <reference field="4" count="1" selected="0">
            <x v="13"/>
          </reference>
        </references>
      </pivotArea>
    </chartFormat>
    <chartFormat chart="10" format="20">
      <pivotArea type="data" outline="0" fieldPosition="0">
        <references count="2">
          <reference field="4294967294" count="1" selected="0">
            <x v="0"/>
          </reference>
          <reference field="4" count="1" selected="0">
            <x v="14"/>
          </reference>
        </references>
      </pivotArea>
    </chartFormat>
    <chartFormat chart="10" format="21">
      <pivotArea type="data" outline="0" fieldPosition="0">
        <references count="2">
          <reference field="4294967294" count="1" selected="0">
            <x v="0"/>
          </reference>
          <reference field="4" count="1" selected="0">
            <x v="15"/>
          </reference>
        </references>
      </pivotArea>
    </chartFormat>
    <chartFormat chart="10" format="22">
      <pivotArea type="data" outline="0" fieldPosition="0">
        <references count="2">
          <reference field="4294967294" count="1" selected="0">
            <x v="0"/>
          </reference>
          <reference field="4" count="1" selected="0">
            <x v="16"/>
          </reference>
        </references>
      </pivotArea>
    </chartFormat>
    <chartFormat chart="10" format="23">
      <pivotArea type="data" outline="0" fieldPosition="0">
        <references count="2">
          <reference field="4294967294" count="1" selected="0">
            <x v="0"/>
          </reference>
          <reference field="4" count="1" selected="0">
            <x v="17"/>
          </reference>
        </references>
      </pivotArea>
    </chartFormat>
    <chartFormat chart="10" format="24">
      <pivotArea type="data" outline="0" fieldPosition="0">
        <references count="2">
          <reference field="4294967294" count="1" selected="0">
            <x v="0"/>
          </reference>
          <reference field="4" count="1" selected="0">
            <x v="18"/>
          </reference>
        </references>
      </pivotArea>
    </chartFormat>
    <chartFormat chart="10" format="25">
      <pivotArea type="data" outline="0" fieldPosition="0">
        <references count="2">
          <reference field="4294967294" count="1" selected="0">
            <x v="0"/>
          </reference>
          <reference field="4" count="1" selected="0">
            <x v="19"/>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106C87B-6307-4A9F-A64B-FDC6324A86F1}" name="Tabela dinâmica1" cacheId="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1">
  <location ref="AH8:AI12" firstHeaderRow="1" firstDataRow="1" firstDataCol="1" rowPageCount="1" colPageCount="1"/>
  <pivotFields count="15">
    <pivotField numFmtId="14" showAll="0"/>
    <pivotField numFmtId="14" showAll="0"/>
    <pivotField axis="axisRow" numFmtId="17" showAll="0">
      <items count="4">
        <item x="0"/>
        <item x="1"/>
        <item x="2"/>
        <item t="default"/>
      </items>
    </pivotField>
    <pivotField axis="axisPage" showAll="0">
      <items count="4">
        <item x="2"/>
        <item x="1"/>
        <item x="0"/>
        <item t="default"/>
      </items>
    </pivotField>
    <pivotField showAll="0"/>
    <pivotField showAll="0"/>
    <pivotField dataField="1" showAll="0"/>
    <pivotField showAll="0"/>
    <pivotField showAll="0"/>
    <pivotField showAll="0">
      <items count="3">
        <item x="1"/>
        <item x="0"/>
        <item t="default"/>
      </items>
    </pivotField>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2"/>
  </rowFields>
  <rowItems count="4">
    <i>
      <x/>
    </i>
    <i>
      <x v="1"/>
    </i>
    <i>
      <x v="2"/>
    </i>
    <i t="grand">
      <x/>
    </i>
  </rowItems>
  <colItems count="1">
    <i/>
  </colItems>
  <pageFields count="1">
    <pageField fld="3" item="1" hier="-1"/>
  </pageFields>
  <dataFields count="1">
    <dataField name="Aportes" fld="6" baseField="0" baseItem="0" numFmtId="171"/>
  </dataFields>
  <formats count="2">
    <format dxfId="5">
      <pivotArea outline="0" collapsedLevelsAreSubtotals="1" fieldPosition="0"/>
    </format>
    <format dxfId="4">
      <pivotArea outline="0" fieldPosition="0">
        <references count="1">
          <reference field="4294967294" count="1">
            <x v="0"/>
          </reference>
        </references>
      </pivotArea>
    </format>
  </formats>
  <chartFormats count="1">
    <chartFormat chart="2"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EFC95FB-32B2-45D5-8F97-036A008FFD70}" name="Tabela dinâmica11" cacheId="9" applyNumberFormats="0" applyBorderFormats="0" applyFontFormats="0" applyPatternFormats="0" applyAlignmentFormats="0" applyWidthHeightFormats="1" dataCaption="Valores" updatedVersion="8" minRefreshableVersion="3" itemPrintTitles="1" createdVersion="8" indent="0" outline="1" outlineData="1" multipleFieldFilters="0" chartFormat="9">
  <location ref="P7:R12" firstHeaderRow="0" firstDataRow="1" firstDataCol="1" rowPageCount="1" colPageCount="1"/>
  <pivotFields count="15">
    <pivotField numFmtId="14" showAll="0"/>
    <pivotField numFmtId="14" showAll="0"/>
    <pivotField numFmtId="17" showAll="0">
      <items count="4">
        <item x="0"/>
        <item x="1"/>
        <item x="2"/>
        <item t="default"/>
      </items>
    </pivotField>
    <pivotField axis="axisPage" showAll="0">
      <items count="4">
        <item x="2"/>
        <item x="0"/>
        <item x="1"/>
        <item t="default"/>
      </items>
    </pivotField>
    <pivotField axis="axisRow" showAll="0" sortType="descending">
      <items count="21">
        <item x="6"/>
        <item x="19"/>
        <item x="17"/>
        <item x="13"/>
        <item x="14"/>
        <item x="18"/>
        <item x="2"/>
        <item x="0"/>
        <item x="4"/>
        <item x="16"/>
        <item x="1"/>
        <item x="3"/>
        <item x="5"/>
        <item x="7"/>
        <item x="8"/>
        <item x="9"/>
        <item x="10"/>
        <item x="11"/>
        <item x="12"/>
        <item x="15"/>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items count="3">
        <item x="1"/>
        <item x="0"/>
        <item t="default"/>
      </items>
    </pivotField>
    <pivotField showAll="0"/>
    <pivotField showAll="0"/>
    <pivotField dragToRow="0" dragToCol="0" dragToPage="0" showAll="0" defaultSubtotal="0"/>
    <pivotField dataField="1" dragToRow="0" dragToCol="0" dragToPage="0" showAll="0" defaultSubtotal="0"/>
    <pivotField dragToRow="0" dragToCol="0" dragToPage="0" showAll="0" defaultSubtotal="0"/>
  </pivotFields>
  <rowFields count="1">
    <field x="4"/>
  </rowFields>
  <rowItems count="5">
    <i>
      <x v="7"/>
    </i>
    <i>
      <x v="6"/>
    </i>
    <i>
      <x v="10"/>
    </i>
    <i>
      <x v="11"/>
    </i>
    <i t="grand">
      <x/>
    </i>
  </rowItems>
  <colFields count="1">
    <field x="-2"/>
  </colFields>
  <colItems count="2">
    <i>
      <x/>
    </i>
    <i i="1">
      <x v="1"/>
    </i>
  </colItems>
  <pageFields count="1">
    <pageField fld="3" item="1" hier="-1"/>
  </pageFields>
  <dataFields count="2">
    <dataField name="Soma de VlrReceita" fld="5" baseField="0" baseItem="0"/>
    <dataField name="PercReceita" fld="13" showDataAs="percentOfTotal" baseField="4" baseItem="11" numFmtId="9"/>
  </dataFields>
  <formats count="4">
    <format dxfId="9">
      <pivotArea outline="0" collapsedLevelsAreSubtotals="1" fieldPosition="0"/>
    </format>
    <format dxfId="8">
      <pivotArea outline="0" fieldPosition="0">
        <references count="1">
          <reference field="4294967294" count="1">
            <x v="1"/>
          </reference>
        </references>
      </pivotArea>
    </format>
    <format dxfId="7">
      <pivotArea collapsedLevelsAreSubtotals="1" fieldPosition="0">
        <references count="1">
          <reference field="4" count="2">
            <x v="6"/>
            <x v="7"/>
          </reference>
        </references>
      </pivotArea>
    </format>
    <format dxfId="6">
      <pivotArea outline="0" collapsedLevelsAreSubtotals="1" fieldPosition="0">
        <references count="1">
          <reference field="4294967294" count="1" selected="0">
            <x v="1"/>
          </reference>
        </references>
      </pivotArea>
    </format>
  </formats>
  <chartFormats count="12">
    <chartFormat chart="7" format="12" series="1">
      <pivotArea type="data" outline="0" fieldPosition="0">
        <references count="1">
          <reference field="4294967294" count="1" selected="0">
            <x v="0"/>
          </reference>
        </references>
      </pivotArea>
    </chartFormat>
    <chartFormat chart="7" format="14">
      <pivotArea type="data" outline="0" fieldPosition="0">
        <references count="2">
          <reference field="4294967294" count="1" selected="0">
            <x v="0"/>
          </reference>
          <reference field="4" count="1" selected="0">
            <x v="6"/>
          </reference>
        </references>
      </pivotArea>
    </chartFormat>
    <chartFormat chart="7" format="16">
      <pivotArea type="data" outline="0" fieldPosition="0">
        <references count="2">
          <reference field="4294967294" count="1" selected="0">
            <x v="0"/>
          </reference>
          <reference field="4" count="1" selected="0">
            <x v="7"/>
          </reference>
        </references>
      </pivotArea>
    </chartFormat>
    <chartFormat chart="7" format="17" series="1">
      <pivotArea type="data" outline="0" fieldPosition="0">
        <references count="1">
          <reference field="4294967294" count="1" selected="0">
            <x v="1"/>
          </reference>
        </references>
      </pivotArea>
    </chartFormat>
    <chartFormat chart="7" format="19">
      <pivotArea type="data" outline="0" fieldPosition="0">
        <references count="2">
          <reference field="4294967294" count="1" selected="0">
            <x v="1"/>
          </reference>
          <reference field="4" count="1" selected="0">
            <x v="6"/>
          </reference>
        </references>
      </pivotArea>
    </chartFormat>
    <chartFormat chart="7" format="21">
      <pivotArea type="data" outline="0" fieldPosition="0">
        <references count="2">
          <reference field="4294967294" count="1" selected="0">
            <x v="1"/>
          </reference>
          <reference field="4" count="1" selected="0">
            <x v="7"/>
          </reference>
        </references>
      </pivotArea>
    </chartFormat>
    <chartFormat chart="7" format="24">
      <pivotArea type="data" outline="0" fieldPosition="0">
        <references count="2">
          <reference field="4294967294" count="1" selected="0">
            <x v="0"/>
          </reference>
          <reference field="4" count="1" selected="0">
            <x v="10"/>
          </reference>
        </references>
      </pivotArea>
    </chartFormat>
    <chartFormat chart="7" format="25">
      <pivotArea type="data" outline="0" fieldPosition="0">
        <references count="2">
          <reference field="4294967294" count="1" selected="0">
            <x v="1"/>
          </reference>
          <reference field="4" count="1" selected="0">
            <x v="10"/>
          </reference>
        </references>
      </pivotArea>
    </chartFormat>
    <chartFormat chart="7" format="26">
      <pivotArea type="data" outline="0" fieldPosition="0">
        <references count="1">
          <reference field="4294967294" count="1" selected="0">
            <x v="0"/>
          </reference>
        </references>
      </pivotArea>
    </chartFormat>
    <chartFormat chart="7" format="27">
      <pivotArea type="data" outline="0" fieldPosition="0">
        <references count="1">
          <reference field="4294967294" count="1" selected="0">
            <x v="1"/>
          </reference>
        </references>
      </pivotArea>
    </chartFormat>
    <chartFormat chart="7" format="28">
      <pivotArea type="data" outline="0" fieldPosition="0">
        <references count="2">
          <reference field="4294967294" count="1" selected="0">
            <x v="0"/>
          </reference>
          <reference field="4" count="1" selected="0">
            <x v="11"/>
          </reference>
        </references>
      </pivotArea>
    </chartFormat>
    <chartFormat chart="7" format="29">
      <pivotArea type="data" outline="0" fieldPosition="0">
        <references count="2">
          <reference field="4294967294" count="1" selected="0">
            <x v="1"/>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5405DA9-F794-409E-ACE3-9B510684F740}" name="Tabela dinâmica2" cacheId="19" applyNumberFormats="0" applyBorderFormats="0" applyFontFormats="0" applyPatternFormats="0" applyAlignmentFormats="0" applyWidthHeightFormats="1" dataCaption="Valores" updatedVersion="8" minRefreshableVersion="3" itemPrintTitles="1" createdVersion="8" indent="0" outline="1" outlineData="1" multipleFieldFilters="0" chartFormat="4">
  <location ref="AN8:AO12" firstHeaderRow="1" firstDataRow="1" firstDataCol="1" rowPageCount="1" colPageCount="1"/>
  <pivotFields count="15">
    <pivotField numFmtId="14" showAll="0"/>
    <pivotField numFmtId="14" showAll="0"/>
    <pivotField axis="axisRow" numFmtId="17" showAll="0">
      <items count="4">
        <item x="0"/>
        <item x="1"/>
        <item x="2"/>
        <item t="default"/>
      </items>
    </pivotField>
    <pivotField showAll="0"/>
    <pivotField axis="axisPage" showAll="0">
      <items count="21">
        <item x="6"/>
        <item x="19"/>
        <item x="17"/>
        <item x="13"/>
        <item x="14"/>
        <item x="18"/>
        <item x="4"/>
        <item x="2"/>
        <item x="0"/>
        <item x="16"/>
        <item x="1"/>
        <item x="3"/>
        <item x="5"/>
        <item x="7"/>
        <item x="8"/>
        <item x="9"/>
        <item x="10"/>
        <item x="11"/>
        <item x="12"/>
        <item x="15"/>
        <item t="default"/>
      </items>
    </pivotField>
    <pivotField showAll="0"/>
    <pivotField dataField="1" showAll="0"/>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2"/>
  </rowFields>
  <rowItems count="4">
    <i>
      <x/>
    </i>
    <i>
      <x v="1"/>
    </i>
    <i>
      <x v="2"/>
    </i>
    <i t="grand">
      <x/>
    </i>
  </rowItems>
  <colItems count="1">
    <i/>
  </colItems>
  <pageFields count="1">
    <pageField fld="4" item="1" hier="-1"/>
  </pageFields>
  <dataFields count="1">
    <dataField name="Soma de VlrDespesa" fld="6" baseField="0" baseItem="0" numFmtId="165"/>
  </dataFields>
  <formats count="1">
    <format dxfId="10">
      <pivotArea outline="0" collapsedLevelsAreSubtotals="1" fieldPosition="0"/>
    </format>
  </formats>
  <chartFormats count="4">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 count="1" selected="0">
            <x v="0"/>
          </reference>
        </references>
      </pivotArea>
    </chartFormat>
    <chartFormat chart="3" format="4">
      <pivotArea type="data" outline="0" fieldPosition="0">
        <references count="2">
          <reference field="4294967294" count="1" selected="0">
            <x v="0"/>
          </reference>
          <reference field="2" count="1" selected="0">
            <x v="1"/>
          </reference>
        </references>
      </pivotArea>
    </chartFormat>
    <chartFormat chart="3" format="5">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863A945-0D8D-4EF5-AAB2-66ED5AE329EA}" name="Tabela dinâmica7" cacheId="9" applyNumberFormats="0" applyBorderFormats="0" applyFontFormats="0" applyPatternFormats="0" applyAlignmentFormats="0" applyWidthHeightFormats="1" dataCaption="Valores" updatedVersion="8" minRefreshableVersion="3" itemPrintTitles="1" createdVersion="8" indent="0" outline="1" outlineData="1" multipleFieldFilters="0">
  <location ref="AA8:AD13" firstHeaderRow="1" firstDataRow="2" firstDataCol="1"/>
  <pivotFields count="15">
    <pivotField numFmtId="14" showAll="0"/>
    <pivotField numFmtId="14" showAll="0"/>
    <pivotField axis="axisRow" numFmtId="17" showAll="0">
      <items count="4">
        <item x="0"/>
        <item x="1"/>
        <item x="2"/>
        <item t="default"/>
      </items>
    </pivotField>
    <pivotField showAll="0"/>
    <pivotField showAll="0"/>
    <pivotField dataField="1" showAll="0"/>
    <pivotField showAll="0"/>
    <pivotField showAll="0"/>
    <pivotField showAll="0"/>
    <pivotField axis="axisCol" showAll="0">
      <items count="3">
        <item x="1"/>
        <item x="0"/>
        <item t="default"/>
      </items>
    </pivotField>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2"/>
  </rowFields>
  <rowItems count="4">
    <i>
      <x/>
    </i>
    <i>
      <x v="1"/>
    </i>
    <i>
      <x v="2"/>
    </i>
    <i t="grand">
      <x/>
    </i>
  </rowItems>
  <colFields count="1">
    <field x="9"/>
  </colFields>
  <colItems count="3">
    <i>
      <x/>
    </i>
    <i>
      <x v="1"/>
    </i>
    <i t="grand">
      <x/>
    </i>
  </colItems>
  <dataFields count="1">
    <dataField name="Soma de VlrReceita" fld="5" baseField="0" baseItem="0" numFmtId="165"/>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F6637E4-2B43-41E5-A06E-9520E7EEB8B1}" name="Tabela dinâmica4" cacheId="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rowHeaderCaption="1">
  <location ref="B9:C13" firstHeaderRow="1" firstDataRow="1" firstDataCol="1"/>
  <pivotFields count="15">
    <pivotField numFmtId="14" showAll="0"/>
    <pivotField numFmtId="14" showAll="0"/>
    <pivotField axis="axisRow" numFmtId="17" showAll="0">
      <items count="4">
        <item x="0"/>
        <item x="1"/>
        <item x="2"/>
        <item t="default"/>
      </items>
    </pivotField>
    <pivotField showAll="0"/>
    <pivotField showAll="0"/>
    <pivotField dataField="1" showAll="0"/>
    <pivotField showAll="0"/>
    <pivotField showAll="0"/>
    <pivotField showAll="0"/>
    <pivotField showAll="0">
      <items count="3">
        <item x="1"/>
        <item x="0"/>
        <item t="default"/>
      </items>
    </pivotField>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2"/>
  </rowFields>
  <rowItems count="4">
    <i>
      <x/>
    </i>
    <i>
      <x v="1"/>
    </i>
    <i>
      <x v="2"/>
    </i>
    <i t="grand">
      <x/>
    </i>
  </rowItems>
  <colItems count="1">
    <i/>
  </colItems>
  <dataFields count="1">
    <dataField name="Soma de VlrReceita" fld="5" baseField="0" baseItem="0" numFmtId="164"/>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23BC831-4D20-4E1B-AB36-FD1020F3F75D}" name="Tabela dinâmica3" cacheId="14" applyNumberFormats="0" applyBorderFormats="0" applyFontFormats="0" applyPatternFormats="0" applyAlignmentFormats="0" applyWidthHeightFormats="1" dataCaption="Valores" updatedVersion="8" minRefreshableVersion="3" rowGrandTotals="0" itemPrintTitles="1" createdVersion="8" indent="0" outline="1" outlineData="1" multipleFieldFilters="0" chartFormat="5">
  <location ref="AR6:AU10" firstHeaderRow="1" firstDataRow="2" firstDataCol="1"/>
  <pivotFields count="8">
    <pivotField numFmtId="14" showAll="0"/>
    <pivotField axis="axisRow" showAll="0">
      <items count="4">
        <item x="0"/>
        <item x="1"/>
        <item x="2"/>
        <item t="default"/>
      </items>
    </pivotField>
    <pivotField numFmtId="1" showAll="0"/>
    <pivotField showAll="0"/>
    <pivotField showAll="0"/>
    <pivotField showAll="0"/>
    <pivotField dataField="1" numFmtId="165" showAll="0"/>
    <pivotField axis="axisCol" showAll="0">
      <items count="3">
        <item x="1"/>
        <item x="0"/>
        <item t="default"/>
      </items>
    </pivotField>
  </pivotFields>
  <rowFields count="1">
    <field x="1"/>
  </rowFields>
  <rowItems count="3">
    <i>
      <x/>
    </i>
    <i>
      <x v="1"/>
    </i>
    <i>
      <x v="2"/>
    </i>
  </rowItems>
  <colFields count="1">
    <field x="7"/>
  </colFields>
  <colItems count="3">
    <i>
      <x/>
    </i>
    <i>
      <x v="1"/>
    </i>
    <i t="grand">
      <x/>
    </i>
  </colItems>
  <dataFields count="1">
    <dataField name="Soma de Sld Devedor" fld="6" baseField="0" baseItem="0" numFmtId="165"/>
  </dataFields>
  <formats count="1">
    <format dxfId="13">
      <pivotArea dataOnly="0" labelOnly="1" fieldPosition="0">
        <references count="1">
          <reference field="1" count="0"/>
        </references>
      </pivotArea>
    </format>
  </formats>
  <chartFormats count="4">
    <chartFormat chart="0" format="3" series="1">
      <pivotArea type="data" outline="0" fieldPosition="0">
        <references count="1">
          <reference field="4294967294" count="1" selected="0">
            <x v="0"/>
          </reference>
        </references>
      </pivotArea>
    </chartFormat>
    <chartFormat chart="0" format="5" series="1">
      <pivotArea type="data" outline="0" fieldPosition="0">
        <references count="2">
          <reference field="4294967294" count="1" selected="0">
            <x v="0"/>
          </reference>
          <reference field="7" count="1" selected="0">
            <x v="0"/>
          </reference>
        </references>
      </pivotArea>
    </chartFormat>
    <chartFormat chart="1" format="0" series="1">
      <pivotArea type="data" outline="0" fieldPosition="0">
        <references count="2">
          <reference field="4294967294" count="1" selected="0">
            <x v="0"/>
          </reference>
          <reference field="7" count="1" selected="0">
            <x v="0"/>
          </reference>
        </references>
      </pivotArea>
    </chartFormat>
    <chartFormat chart="2" format="0" series="1">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2E8332F-5F6D-43D7-9E01-C216A8FE8B56}" name="Tabela dinâmica5" cacheId="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F9:G13" firstHeaderRow="1" firstDataRow="1" firstDataCol="1"/>
  <pivotFields count="15">
    <pivotField numFmtId="14" showAll="0"/>
    <pivotField numFmtId="14" showAll="0"/>
    <pivotField axis="axisRow" numFmtId="17" showAll="0">
      <items count="4">
        <item x="0"/>
        <item x="1"/>
        <item x="2"/>
        <item t="default"/>
      </items>
    </pivotField>
    <pivotField showAll="0"/>
    <pivotField showAll="0"/>
    <pivotField showAll="0"/>
    <pivotField dataField="1" showAll="0"/>
    <pivotField showAll="0"/>
    <pivotField showAll="0"/>
    <pivotField showAll="0">
      <items count="3">
        <item x="1"/>
        <item x="0"/>
        <item t="default"/>
      </items>
    </pivotField>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2"/>
  </rowFields>
  <rowItems count="4">
    <i>
      <x/>
    </i>
    <i>
      <x v="1"/>
    </i>
    <i>
      <x v="2"/>
    </i>
    <i t="grand">
      <x/>
    </i>
  </rowItems>
  <colItems count="1">
    <i/>
  </colItems>
  <dataFields count="1">
    <dataField name="Soma de VlrDespesa" fld="6" baseField="0" baseItem="0" numFmtId="164"/>
  </dataFields>
  <formats count="1">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Status_Pgto" xr10:uid="{D1828B1E-5CA4-4295-861D-E2B31D0F80E1}" sourceName="Status Pgto">
  <pivotTables>
    <pivotTable tabId="5" name="Tabela dinâmica4"/>
    <pivotTable tabId="5" name="Tabela dinâmica5"/>
    <pivotTable tabId="5" name="Tabela dinâmica6"/>
    <pivotTable tabId="5" name="Tabela dinâmica11"/>
    <pivotTable tabId="5" name="Tabela dinâmica13"/>
    <pivotTable tabId="5" name="Tabela dinâmica14"/>
    <pivotTable tabId="5" name="Tabela dinâmica1"/>
    <pivotTable tabId="5" name="Tabela dinâmica7"/>
    <pivotTable tabId="5" name="Tabela dinâmica8"/>
  </pivotTables>
  <data>
    <tabular pivotCacheId="1174514373">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MÊS_REF" xr10:uid="{728C3939-6CD7-4C2E-9A41-8FE15A940803}" sourceName="MÊS REF">
  <pivotTables>
    <pivotTable tabId="5" name="Tabela dinâmica4"/>
    <pivotTable tabId="5" name="Tabela dinâmica5"/>
    <pivotTable tabId="5" name="Tabela dinâmica6"/>
    <pivotTable tabId="5" name="Tabela dinâmica11"/>
    <pivotTable tabId="5" name="Tabela dinâmica13"/>
    <pivotTable tabId="5" name="Tabela dinâmica14"/>
    <pivotTable tabId="5" name="Tabela dinâmica7"/>
    <pivotTable tabId="5" name="Tabela dinâmica8"/>
    <pivotTable tabId="5" name="Tabela dinâmica1"/>
  </pivotTables>
  <data>
    <tabular pivotCacheId="1174514373">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ÊS_REF" xr10:uid="{933CBA84-AA70-4FE4-88E2-9225554D0418}" sourceName="MÊS REF">
  <extLst>
    <x:ext xmlns:x15="http://schemas.microsoft.com/office/spreadsheetml/2010/11/main" uri="{2F2917AC-EB37-4324-AD4E-5DD8C200BD13}">
      <x15:tableSlicerCache tableId="1" column="10"/>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_Pgto" xr10:uid="{8804CF42-6915-4A5D-A2AA-DFC53B3C83E0}" sourceName="Status Pgto">
  <extLst>
    <x:ext xmlns:x15="http://schemas.microsoft.com/office/spreadsheetml/2010/11/main" uri="{2F2917AC-EB37-4324-AD4E-5DD8C200BD13}">
      <x15:tableSlicerCache tableId="1"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Pgto" xr10:uid="{A99A93EF-A3E1-4DEE-BE86-90FEBABF4627}" cache="SegmentaçãodeDados_Status_Pgto" caption="Status" columnCount="2" style="SlicerStyleLight1" rowHeight="330200"/>
  <slicer name="MÊS REF" xr10:uid="{95BC141E-BF0F-4FAB-86E5-B0493E70AA48}" cache="SegmentaçãodeDados_MÊS_REF" caption="Período" columnCount="3" style="SlicerStyleLight1" rowHeight="3302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eriodo2" xr10:uid="{093AABBD-0831-4194-A975-CF9C1F7D1C6D}" cache="Slicer_MÊS_REF" caption="Período" columnCount="3" style="SlicerStyleLight1" rowHeight="304800"/>
  <slicer name="StatusPgto2" xr10:uid="{101E260D-A8BE-47F1-9C8E-7989B9485E1B}" cache="Slicer_Status_Pgto" caption="Status" columnCount="2" style="SlicerStyleLight1" rowHeight="3048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1AC59FF-261C-4EE7-9DFC-72A9149E23B1}" name="BaseLanc" displayName="BaseLanc" ref="A9:L106" totalsRowShown="0" headerRowDxfId="38" dataDxfId="37" headerRowCellStyle="Normal" dataCellStyle="Normal">
  <autoFilter ref="A9:L106" xr:uid="{C1AC59FF-261C-4EE7-9DFC-72A9149E23B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6C9E6BF3-49E0-405B-B3DF-9254D99DB1F3}" name="DT Compra" dataDxfId="36" dataCellStyle="Normal"/>
    <tableColumn id="2" xr3:uid="{DCB5CDE4-7F08-4508-997F-1BF31D89653E}" name="DT Venc" dataDxfId="35" dataCellStyle="Normal"/>
    <tableColumn id="10" xr3:uid="{4146C946-948C-4B25-AF8F-8B12BA0E8E98}" name="MÊS REF" dataDxfId="34">
      <calculatedColumnFormula>DATE(YEAR(BaseLanc[[#This Row],[DT Venc]]),MONTH(BaseLanc[[#This Row],[DT Venc]]),1)</calculatedColumnFormula>
    </tableColumn>
    <tableColumn id="9" xr3:uid="{DE770C0E-5337-48B1-A1E4-D8EE2C178646}" name="TIPO" dataDxfId="33"/>
    <tableColumn id="3" xr3:uid="{C49E7A72-1A79-4065-9E53-9A2121BD6C6A}" name="Categoria" dataDxfId="32" dataCellStyle="Normal"/>
    <tableColumn id="12" xr3:uid="{0BABE996-949B-429D-8F8B-B49473B02274}" name="VlrReceita" dataDxfId="31"/>
    <tableColumn id="4" xr3:uid="{30BF282D-71D8-4DA1-ABD7-EB24573C070A}" name="VlrDespesa" dataDxfId="30"/>
    <tableColumn id="5" xr3:uid="{77773410-D89F-4B01-A26C-0DD25145BD69}" name="Descricao" dataDxfId="29" dataCellStyle="Normal"/>
    <tableColumn id="6" xr3:uid="{5A5FA735-D25A-4330-8C12-74567C05A289}" name="Pessoa" dataDxfId="28" dataCellStyle="Normal"/>
    <tableColumn id="7" xr3:uid="{DCDD1539-7276-4927-8D16-FDF36460415F}" name="Status Pgto" dataDxfId="27" dataCellStyle="Normal"/>
    <tableColumn id="8" xr3:uid="{A352B4AF-0934-4039-A2D1-A9B48F0B0EA4}" name="Obs (OPCIONAL)" dataDxfId="26" dataCellStyle="Normal"/>
    <tableColumn id="11" xr3:uid="{93B86679-BAC3-4EB5-B51A-B5B071EB3908}" name="PRI" dataDxfId="25" dataCellStyle="Normal"/>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A337C2-4DD4-4D78-AF98-7271C1330150}" name="Tb_Emprestimos" displayName="Tb_Emprestimos" ref="B12:I18" totalsRowShown="0" headerRowDxfId="24" dataDxfId="23">
  <autoFilter ref="B12:I18" xr:uid="{BEA337C2-4DD4-4D78-AF98-7271C133015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CEAC174C-960B-42C8-AD52-27BDF391FE6B}" name="DATA" dataDxfId="22"/>
    <tableColumn id="2" xr3:uid="{54DB59F4-7362-475F-8765-E8718C4D2CA9}" name="MÊS REF" dataDxfId="21">
      <calculatedColumnFormula>Tb_Emprestimos[[#This Row],[DATA]]</calculatedColumnFormula>
    </tableColumn>
    <tableColumn id="3" xr3:uid="{07876435-C61B-434D-8579-5C2B8CA9D75E}" name="PRAZO(m)" dataDxfId="20"/>
    <tableColumn id="4" xr3:uid="{BDED28E8-781D-432A-A9F0-4A6D6F4F859E}" name="Vlr.Prest" dataDxfId="19"/>
    <tableColumn id="5" xr3:uid="{C8355F7C-EB8B-4FE8-9439-8AFFAD00232A}" name="TAXA(a.m)" dataDxfId="18"/>
    <tableColumn id="6" xr3:uid="{292962AB-BE2C-404C-BBAE-C47D9593D19C}" name="Vlr LIQ" dataDxfId="17"/>
    <tableColumn id="7" xr3:uid="{2B6176EF-F4A1-4451-B6D3-2E10095E8274}" name="Sld Devedor" dataDxfId="16"/>
    <tableColumn id="8" xr3:uid="{7DBC9209-08BC-47F0-9050-1716D4B7C75E}" name="DESCRIÇÃO" dataDxfId="15"/>
  </tableColumns>
  <tableStyleInfo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Íon">
  <a:themeElements>
    <a:clrScheme name="Gil Cores">
      <a:dk1>
        <a:srgbClr val="0F172A"/>
      </a:dk1>
      <a:lt1>
        <a:sysClr val="window" lastClr="FFFFFF"/>
      </a:lt1>
      <a:dk2>
        <a:srgbClr val="1E5155"/>
      </a:dk2>
      <a:lt2>
        <a:srgbClr val="EBEBEB"/>
      </a:lt2>
      <a:accent1>
        <a:srgbClr val="2F6DB5"/>
      </a:accent1>
      <a:accent2>
        <a:srgbClr val="3A8FA3"/>
      </a:accent2>
      <a:accent3>
        <a:srgbClr val="2E7D5B"/>
      </a:accent3>
      <a:accent4>
        <a:srgbClr val="C98A1B"/>
      </a:accent4>
      <a:accent5>
        <a:srgbClr val="B4443A"/>
      </a:accent5>
      <a:accent6>
        <a:srgbClr val="6B7A99"/>
      </a:accent6>
      <a:hlink>
        <a:srgbClr val="58C1BA"/>
      </a:hlink>
      <a:folHlink>
        <a:srgbClr val="9DFFCB"/>
      </a:folHlink>
    </a:clrScheme>
    <a:fontScheme name="Íon">
      <a:majorFont>
        <a:latin typeface="Century Gothic" panose="020B050202020202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Íon">
      <a:fillStyleLst>
        <a:solidFill>
          <a:schemeClr val="phClr"/>
        </a:solidFill>
        <a:gradFill rotWithShape="1">
          <a:gsLst>
            <a:gs pos="0">
              <a:schemeClr val="phClr">
                <a:tint val="64000"/>
                <a:lumMod val="118000"/>
              </a:schemeClr>
            </a:gs>
            <a:gs pos="100000">
              <a:schemeClr val="phClr">
                <a:tint val="92000"/>
                <a:alpha val="100000"/>
                <a:lumMod val="110000"/>
              </a:schemeClr>
            </a:gs>
          </a:gsLst>
          <a:lin ang="5400000" scaled="0"/>
        </a:gradFill>
        <a:gradFill rotWithShape="1">
          <a:gsLst>
            <a:gs pos="0">
              <a:schemeClr val="phClr">
                <a:tint val="98000"/>
                <a:lumMod val="114000"/>
              </a:schemeClr>
            </a:gs>
            <a:gs pos="100000">
              <a:schemeClr val="phClr">
                <a:shade val="90000"/>
                <a:lumMod val="84000"/>
              </a:schemeClr>
            </a:gs>
          </a:gsLst>
          <a:lin ang="5400000" scaled="0"/>
        </a:gradFill>
      </a:fillStyleLst>
      <a:lnStyleLst>
        <a:ln w="9525" cap="rnd" cmpd="sng" algn="ctr">
          <a:solidFill>
            <a:schemeClr val="phClr"/>
          </a:solidFill>
          <a:prstDash val="solid"/>
        </a:ln>
        <a:ln w="19050" cap="rnd" cmpd="sng" algn="ctr">
          <a:solidFill>
            <a:schemeClr val="phClr"/>
          </a:solidFill>
          <a:prstDash val="solid"/>
        </a:ln>
        <a:ln w="28575" cap="rnd" cmpd="sng"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7000"/>
                <a:hueMod val="88000"/>
                <a:satMod val="130000"/>
                <a:lumMod val="124000"/>
              </a:schemeClr>
            </a:gs>
            <a:gs pos="100000">
              <a:schemeClr val="phClr">
                <a:tint val="96000"/>
                <a:shade val="88000"/>
                <a:hueMod val="108000"/>
                <a:satMod val="164000"/>
                <a:lumMod val="76000"/>
              </a:schemeClr>
            </a:gs>
          </a:gsLst>
          <a:path path="circle">
            <a:fillToRect l="45000" t="65000" r="125000" b="100000"/>
          </a:path>
        </a:gradFill>
        <a:blipFill rotWithShape="1">
          <a:blip xmlns:r="http://schemas.openxmlformats.org/officeDocument/2006/relationships" r:embed="rId1">
            <a:duotone>
              <a:schemeClr val="phClr">
                <a:shade val="69000"/>
                <a:hueMod val="108000"/>
                <a:satMod val="164000"/>
                <a:lumMod val="74000"/>
              </a:schemeClr>
              <a:schemeClr val="phClr">
                <a:tint val="96000"/>
                <a:hueMod val="88000"/>
                <a:satMod val="140000"/>
                <a:lumMod val="132000"/>
              </a:schemeClr>
            </a:duotone>
          </a:blip>
          <a:stretch/>
        </a:blipFill>
      </a:bgFillStyleLst>
    </a:fmtScheme>
  </a:themeElements>
  <a:objectDefaults/>
  <a:extraClrSchemeLst/>
  <a:extLst>
    <a:ext uri="{05A4C25C-085E-4340-85A3-A5531E510DB2}">
      <thm15:themeFamily xmlns:thm15="http://schemas.microsoft.com/office/thememl/2012/main" name="Ion" id="{B8441ADB-2E43-4AF7-B97A-BD870242C6A8}" vid="{292E63A9-BB86-4E3D-B92A-7223C6510D2E}"/>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vmlDrawing" Target="../drawings/vmlDrawing1.v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CC748-344B-4010-AB54-D5D26A7CC055}">
  <sheetPr codeName="Planilha1">
    <pageSetUpPr fitToPage="1"/>
  </sheetPr>
  <dimension ref="A1:Z52"/>
  <sheetViews>
    <sheetView showGridLines="0" showRowColHeaders="0" tabSelected="1" zoomScale="115" zoomScaleNormal="115" workbookViewId="0"/>
  </sheetViews>
  <sheetFormatPr defaultColWidth="0" defaultRowHeight="15" customHeight="1" zeroHeight="1" x14ac:dyDescent="0.3"/>
  <cols>
    <col min="1" max="25" width="8.125" style="79" customWidth="1"/>
    <col min="26" max="26" width="8" style="79" hidden="1" customWidth="1"/>
    <col min="27" max="16384" width="9" style="79" hidden="1"/>
  </cols>
  <sheetData>
    <row r="1" s="79" customFormat="1" ht="15" customHeight="1" x14ac:dyDescent="0.3"/>
    <row r="2" s="79" customFormat="1" ht="15" customHeight="1" x14ac:dyDescent="0.3"/>
    <row r="3" s="79" customFormat="1" ht="15" customHeight="1" x14ac:dyDescent="0.3"/>
    <row r="4" s="79" customFormat="1" ht="15" customHeight="1" x14ac:dyDescent="0.3"/>
    <row r="5" s="79" customFormat="1" ht="15" customHeight="1" x14ac:dyDescent="0.3"/>
    <row r="6" s="79" customFormat="1" ht="15" customHeight="1" x14ac:dyDescent="0.3"/>
    <row r="7" s="79" customFormat="1" ht="15" customHeight="1" x14ac:dyDescent="0.3"/>
    <row r="8" s="79" customFormat="1" ht="15" customHeight="1" x14ac:dyDescent="0.3"/>
    <row r="9" s="79" customFormat="1" ht="15" customHeight="1" x14ac:dyDescent="0.3"/>
    <row r="10" s="79" customFormat="1" ht="15" customHeight="1" x14ac:dyDescent="0.3"/>
    <row r="11" s="79" customFormat="1" ht="15" customHeight="1" x14ac:dyDescent="0.3"/>
    <row r="12" s="79" customFormat="1" ht="15" customHeight="1" x14ac:dyDescent="0.3"/>
    <row r="13" s="79" customFormat="1" ht="15" customHeight="1" x14ac:dyDescent="0.3"/>
    <row r="14" s="79" customFormat="1" ht="15" customHeight="1" x14ac:dyDescent="0.3"/>
    <row r="15" s="79" customFormat="1" ht="15" customHeight="1" x14ac:dyDescent="0.3"/>
    <row r="16" s="79" customFormat="1" ht="15" customHeight="1" x14ac:dyDescent="0.3"/>
    <row r="17" s="79" customFormat="1" ht="15" customHeight="1" x14ac:dyDescent="0.3"/>
    <row r="18" s="79" customFormat="1" ht="15" customHeight="1" x14ac:dyDescent="0.3"/>
    <row r="19" s="79" customFormat="1" ht="15" customHeight="1" x14ac:dyDescent="0.3"/>
    <row r="20" s="79" customFormat="1" ht="15" customHeight="1" x14ac:dyDescent="0.3"/>
    <row r="21" s="79" customFormat="1" ht="15" customHeight="1" x14ac:dyDescent="0.3"/>
    <row r="22" s="79" customFormat="1" ht="15" customHeight="1" x14ac:dyDescent="0.3"/>
    <row r="23" s="79" customFormat="1" ht="15" customHeight="1" x14ac:dyDescent="0.3"/>
    <row r="24" s="79" customFormat="1" ht="15" customHeight="1" x14ac:dyDescent="0.3"/>
    <row r="25" s="79" customFormat="1" ht="15" customHeight="1" x14ac:dyDescent="0.3"/>
    <row r="26" s="79" customFormat="1" ht="15" customHeight="1" x14ac:dyDescent="0.3"/>
    <row r="27" s="79" customFormat="1" ht="15" customHeight="1" x14ac:dyDescent="0.3"/>
    <row r="28" s="79" customFormat="1" ht="15" customHeight="1" x14ac:dyDescent="0.3"/>
    <row r="29" s="79" customFormat="1" ht="15" customHeight="1" x14ac:dyDescent="0.3"/>
    <row r="30" s="79" customFormat="1" ht="15" customHeight="1" x14ac:dyDescent="0.3"/>
    <row r="31" s="79" customFormat="1" ht="15" customHeight="1" x14ac:dyDescent="0.3"/>
    <row r="32" s="79" customFormat="1" ht="15" customHeight="1" x14ac:dyDescent="0.3"/>
    <row r="33" s="79" customFormat="1" ht="15" customHeight="1" x14ac:dyDescent="0.3"/>
    <row r="34" s="79" customFormat="1" ht="15" customHeight="1" x14ac:dyDescent="0.3"/>
    <row r="35" s="79" customFormat="1" ht="15" customHeight="1" x14ac:dyDescent="0.3"/>
    <row r="36" s="79" customFormat="1" ht="15" customHeight="1" x14ac:dyDescent="0.3"/>
    <row r="37" s="79" customFormat="1" ht="15" customHeight="1" x14ac:dyDescent="0.3"/>
    <row r="38" s="79" customFormat="1" ht="15" customHeight="1" x14ac:dyDescent="0.3"/>
    <row r="39" s="79" customFormat="1" ht="15" customHeight="1" x14ac:dyDescent="0.3"/>
    <row r="40" s="79" customFormat="1" ht="15" customHeight="1" x14ac:dyDescent="0.3"/>
    <row r="41" s="79" customFormat="1" ht="15" customHeight="1" x14ac:dyDescent="0.3"/>
    <row r="42" s="79" customFormat="1" ht="15" customHeight="1" x14ac:dyDescent="0.3"/>
    <row r="43" s="79" customFormat="1" ht="15" customHeight="1" x14ac:dyDescent="0.3"/>
    <row r="44" s="79" customFormat="1" ht="15" customHeight="1" x14ac:dyDescent="0.3"/>
    <row r="45" s="79" customFormat="1" ht="15" customHeight="1" x14ac:dyDescent="0.3"/>
    <row r="46" s="79" customFormat="1" ht="15" customHeight="1" x14ac:dyDescent="0.3"/>
    <row r="47" s="79" customFormat="1" ht="15" customHeight="1" x14ac:dyDescent="0.3"/>
    <row r="48" s="79" customFormat="1" ht="15" customHeight="1" x14ac:dyDescent="0.3"/>
    <row r="49" s="79" customFormat="1" ht="15" customHeight="1" x14ac:dyDescent="0.3"/>
    <row r="50" s="79" customFormat="1" ht="15" customHeight="1" x14ac:dyDescent="0.3"/>
    <row r="51" s="79" customFormat="1" ht="15" customHeight="1" x14ac:dyDescent="0.3"/>
    <row r="52" s="79" customFormat="1" ht="15" customHeight="1" x14ac:dyDescent="0.3"/>
  </sheetData>
  <sheetProtection sheet="1" objects="1" scenarios="1"/>
  <printOptions horizontalCentered="1"/>
  <pageMargins left="0.511811024" right="0.511811024" top="0.78740157499999996" bottom="0.78740157499999996" header="0.31496062000000002" footer="0.31496062000000002"/>
  <pageSetup paperSize="9" scale="60" orientation="landscape" horizontalDpi="4294967293" verticalDpi="4294967293"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48D78-29ED-440A-B1D8-DCC50679F6F1}">
  <sheetPr codeName="Planilha3">
    <pageSetUpPr fitToPage="1"/>
  </sheetPr>
  <dimension ref="A1:L400"/>
  <sheetViews>
    <sheetView showGridLines="0" showRowColHeaders="0" zoomScaleNormal="100" workbookViewId="0">
      <pane ySplit="9" topLeftCell="A10" activePane="bottomLeft" state="frozenSplit"/>
      <selection pane="bottomLeft"/>
    </sheetView>
  </sheetViews>
  <sheetFormatPr defaultColWidth="0" defaultRowHeight="14.25" zeroHeight="1" x14ac:dyDescent="0.25"/>
  <cols>
    <col min="1" max="2" width="12.625" style="33" customWidth="1"/>
    <col min="3" max="3" width="10.125" style="34" customWidth="1"/>
    <col min="4" max="4" width="12.125" style="35" customWidth="1"/>
    <col min="5" max="5" width="28.625" style="32" customWidth="1"/>
    <col min="6" max="6" width="16.625" style="38" customWidth="1"/>
    <col min="7" max="7" width="16.625" style="36" customWidth="1"/>
    <col min="8" max="8" width="32.625" style="32" customWidth="1"/>
    <col min="9" max="9" width="15.625" style="32" customWidth="1"/>
    <col min="10" max="10" width="13.125" style="32" customWidth="1"/>
    <col min="11" max="11" width="30.625" style="32" customWidth="1"/>
    <col min="12" max="12" width="9.625" style="37" customWidth="1"/>
    <col min="13" max="16384" width="9" style="32" hidden="1"/>
  </cols>
  <sheetData>
    <row r="1" spans="1:12" ht="15.95" customHeight="1" x14ac:dyDescent="0.25">
      <c r="A1" s="39"/>
      <c r="B1" s="39"/>
      <c r="C1" s="39"/>
      <c r="D1" s="39"/>
      <c r="E1" s="39"/>
      <c r="F1" s="39"/>
      <c r="G1" s="39"/>
      <c r="H1" s="39"/>
      <c r="I1" s="39"/>
      <c r="J1" s="39"/>
      <c r="K1" s="39"/>
      <c r="L1" s="39"/>
    </row>
    <row r="2" spans="1:12" ht="15.95" customHeight="1" x14ac:dyDescent="0.25">
      <c r="A2" s="39"/>
      <c r="B2" s="39"/>
      <c r="C2" s="39"/>
      <c r="D2" s="80"/>
      <c r="E2" s="80"/>
      <c r="F2" s="80"/>
      <c r="G2" s="80"/>
      <c r="H2" s="80"/>
      <c r="I2" s="80"/>
      <c r="J2" s="80"/>
      <c r="K2" s="80"/>
      <c r="L2" s="39"/>
    </row>
    <row r="3" spans="1:12" ht="15.95" customHeight="1" x14ac:dyDescent="0.25">
      <c r="A3" s="39"/>
      <c r="B3" s="39"/>
      <c r="C3" s="39"/>
      <c r="D3" s="39"/>
      <c r="E3" s="39"/>
      <c r="F3" s="39"/>
      <c r="G3" s="39"/>
      <c r="H3" s="39"/>
      <c r="I3" s="39"/>
      <c r="J3" s="39"/>
      <c r="K3" s="39"/>
      <c r="L3" s="39"/>
    </row>
    <row r="4" spans="1:12" ht="8.1" customHeight="1" x14ac:dyDescent="0.25">
      <c r="A4" s="39"/>
      <c r="B4" s="39"/>
      <c r="C4" s="39"/>
      <c r="D4" s="39"/>
      <c r="E4" s="39"/>
      <c r="F4" s="39"/>
      <c r="G4" s="39"/>
      <c r="H4" s="39"/>
      <c r="I4" s="39"/>
      <c r="J4" s="39"/>
      <c r="K4" s="39"/>
      <c r="L4" s="39"/>
    </row>
    <row r="5" spans="1:12" ht="15" customHeight="1" x14ac:dyDescent="0.25">
      <c r="A5" s="39"/>
      <c r="B5" s="39"/>
      <c r="C5" s="39"/>
      <c r="D5" s="39"/>
      <c r="E5" s="39"/>
      <c r="F5" s="39"/>
      <c r="G5" s="39"/>
      <c r="H5" s="39"/>
      <c r="I5" s="39"/>
      <c r="J5" s="39"/>
      <c r="K5" s="39"/>
      <c r="L5" s="39"/>
    </row>
    <row r="6" spans="1:12" ht="15" customHeight="1" x14ac:dyDescent="0.25">
      <c r="A6" s="39"/>
      <c r="B6" s="39"/>
      <c r="C6" s="39"/>
      <c r="D6" s="39"/>
      <c r="E6" s="39"/>
      <c r="F6" s="39"/>
      <c r="G6" s="39"/>
      <c r="H6" s="39"/>
      <c r="I6" s="39"/>
      <c r="J6" s="39"/>
      <c r="K6" s="39"/>
      <c r="L6" s="39"/>
    </row>
    <row r="7" spans="1:12" ht="15" customHeight="1" x14ac:dyDescent="0.25">
      <c r="A7" s="39"/>
      <c r="B7" s="39"/>
      <c r="C7" s="39"/>
      <c r="D7" s="39"/>
      <c r="E7" s="39"/>
      <c r="F7" s="39"/>
      <c r="G7" s="39"/>
      <c r="H7" s="39"/>
      <c r="I7" s="39"/>
      <c r="J7" s="39"/>
      <c r="K7" s="39"/>
      <c r="L7" s="39"/>
    </row>
    <row r="8" spans="1:12" ht="15" customHeight="1" x14ac:dyDescent="0.25">
      <c r="A8" s="39"/>
      <c r="B8" s="39"/>
      <c r="C8" s="39"/>
      <c r="D8" s="39"/>
      <c r="E8" s="39"/>
      <c r="F8" s="39"/>
      <c r="G8" s="39"/>
      <c r="H8" s="39"/>
      <c r="I8" s="39"/>
      <c r="J8" s="39"/>
      <c r="K8" s="39"/>
      <c r="L8" s="39"/>
    </row>
    <row r="9" spans="1:12" ht="26.1" customHeight="1" x14ac:dyDescent="0.25">
      <c r="A9" s="40" t="s">
        <v>1</v>
      </c>
      <c r="B9" s="40" t="s">
        <v>2</v>
      </c>
      <c r="C9" s="40" t="s">
        <v>3</v>
      </c>
      <c r="D9" s="40" t="s">
        <v>4</v>
      </c>
      <c r="E9" s="40" t="s">
        <v>5</v>
      </c>
      <c r="F9" s="41" t="s">
        <v>6</v>
      </c>
      <c r="G9" s="41" t="s">
        <v>7</v>
      </c>
      <c r="H9" s="40" t="s">
        <v>8</v>
      </c>
      <c r="I9" s="40" t="s">
        <v>9</v>
      </c>
      <c r="J9" s="40" t="s">
        <v>10</v>
      </c>
      <c r="K9" s="40" t="s">
        <v>11</v>
      </c>
      <c r="L9" s="40" t="s">
        <v>12</v>
      </c>
    </row>
    <row r="10" spans="1:12" ht="21" customHeight="1" x14ac:dyDescent="0.25">
      <c r="A10" s="66">
        <v>46239</v>
      </c>
      <c r="B10" s="66">
        <v>46239</v>
      </c>
      <c r="C10" s="67">
        <f>DATE(YEAR(BaseLanc[[#This Row],[DT Venc]]),MONTH(BaseLanc[[#This Row],[DT Venc]]),1)</f>
        <v>46235</v>
      </c>
      <c r="D10" s="68" t="s">
        <v>13</v>
      </c>
      <c r="E10" s="77" t="s">
        <v>14</v>
      </c>
      <c r="F10" s="42">
        <v>5600</v>
      </c>
      <c r="G10" s="42"/>
      <c r="H10" s="77" t="s">
        <v>67</v>
      </c>
      <c r="I10" s="77" t="s">
        <v>68</v>
      </c>
      <c r="J10" s="69" t="s">
        <v>18</v>
      </c>
      <c r="K10" s="77"/>
      <c r="L10" s="69" t="s">
        <v>69</v>
      </c>
    </row>
    <row r="11" spans="1:12" ht="21" customHeight="1" x14ac:dyDescent="0.25">
      <c r="A11" s="70">
        <v>46239</v>
      </c>
      <c r="B11" s="70">
        <v>46239</v>
      </c>
      <c r="C11" s="71">
        <f>DATE(YEAR(BaseLanc[[#This Row],[DT Venc]]),MONTH(BaseLanc[[#This Row],[DT Venc]]),1)</f>
        <v>46235</v>
      </c>
      <c r="D11" s="72" t="s">
        <v>13</v>
      </c>
      <c r="E11" s="78" t="s">
        <v>14</v>
      </c>
      <c r="F11" s="43">
        <v>9800</v>
      </c>
      <c r="G11" s="43"/>
      <c r="H11" s="78" t="s">
        <v>67</v>
      </c>
      <c r="I11" s="78" t="s">
        <v>70</v>
      </c>
      <c r="J11" s="73" t="s">
        <v>18</v>
      </c>
      <c r="K11" s="78"/>
      <c r="L11" s="73" t="s">
        <v>69</v>
      </c>
    </row>
    <row r="12" spans="1:12" ht="21" customHeight="1" x14ac:dyDescent="0.25">
      <c r="A12" s="70">
        <v>46249</v>
      </c>
      <c r="B12" s="70">
        <v>46249</v>
      </c>
      <c r="C12" s="71">
        <f>DATE(YEAR(BaseLanc[[#This Row],[DT Venc]]),MONTH(BaseLanc[[#This Row],[DT Venc]]),1)</f>
        <v>46235</v>
      </c>
      <c r="D12" s="72" t="s">
        <v>13</v>
      </c>
      <c r="E12" s="78" t="s">
        <v>17</v>
      </c>
      <c r="F12" s="43">
        <v>2500</v>
      </c>
      <c r="G12" s="43"/>
      <c r="H12" s="78" t="s">
        <v>71</v>
      </c>
      <c r="I12" s="78" t="s">
        <v>70</v>
      </c>
      <c r="J12" s="73" t="s">
        <v>18</v>
      </c>
      <c r="K12" s="78" t="s">
        <v>72</v>
      </c>
      <c r="L12" s="73" t="s">
        <v>73</v>
      </c>
    </row>
    <row r="13" spans="1:12" ht="21" customHeight="1" x14ac:dyDescent="0.25">
      <c r="A13" s="70">
        <v>46252</v>
      </c>
      <c r="B13" s="70">
        <v>46254</v>
      </c>
      <c r="C13" s="71">
        <f>DATE(YEAR(BaseLanc[[#This Row],[DT Venc]]),MONTH(BaseLanc[[#This Row],[DT Venc]]),1)</f>
        <v>46235</v>
      </c>
      <c r="D13" s="72" t="s">
        <v>13</v>
      </c>
      <c r="E13" s="78" t="s">
        <v>16</v>
      </c>
      <c r="F13" s="43">
        <v>1450</v>
      </c>
      <c r="G13" s="43"/>
      <c r="H13" s="78" t="s">
        <v>74</v>
      </c>
      <c r="I13" s="78" t="s">
        <v>70</v>
      </c>
      <c r="J13" s="73" t="s">
        <v>18</v>
      </c>
      <c r="K13" s="78"/>
      <c r="L13" s="73" t="s">
        <v>73</v>
      </c>
    </row>
    <row r="14" spans="1:12" ht="21" customHeight="1" x14ac:dyDescent="0.25">
      <c r="A14" s="70">
        <v>46262</v>
      </c>
      <c r="B14" s="70">
        <v>46262</v>
      </c>
      <c r="C14" s="71">
        <f>DATE(YEAR(BaseLanc[[#This Row],[DT Venc]]),MONTH(BaseLanc[[#This Row],[DT Venc]]),1)</f>
        <v>46235</v>
      </c>
      <c r="D14" s="72" t="s">
        <v>13</v>
      </c>
      <c r="E14" s="78" t="s">
        <v>75</v>
      </c>
      <c r="F14" s="43">
        <v>312.39999999999998</v>
      </c>
      <c r="G14" s="43"/>
      <c r="H14" s="78" t="s">
        <v>76</v>
      </c>
      <c r="I14" s="78" t="s">
        <v>77</v>
      </c>
      <c r="J14" s="73" t="s">
        <v>18</v>
      </c>
      <c r="K14" s="78"/>
      <c r="L14" s="73" t="s">
        <v>78</v>
      </c>
    </row>
    <row r="15" spans="1:12" ht="21" customHeight="1" x14ac:dyDescent="0.25">
      <c r="A15" s="70">
        <v>46240</v>
      </c>
      <c r="B15" s="70">
        <v>46240</v>
      </c>
      <c r="C15" s="71">
        <f>DATE(YEAR(BaseLanc[[#This Row],[DT Venc]]),MONTH(BaseLanc[[#This Row],[DT Venc]]),1)</f>
        <v>46235</v>
      </c>
      <c r="D15" s="72" t="s">
        <v>19</v>
      </c>
      <c r="E15" s="78" t="s">
        <v>28</v>
      </c>
      <c r="F15" s="43"/>
      <c r="G15" s="43">
        <v>1000</v>
      </c>
      <c r="H15" s="78" t="s">
        <v>79</v>
      </c>
      <c r="I15" s="78" t="s">
        <v>70</v>
      </c>
      <c r="J15" s="73" t="s">
        <v>18</v>
      </c>
      <c r="K15" s="78"/>
      <c r="L15" s="73" t="s">
        <v>73</v>
      </c>
    </row>
    <row r="16" spans="1:12" ht="21" customHeight="1" x14ac:dyDescent="0.25">
      <c r="A16" s="70">
        <v>46254</v>
      </c>
      <c r="B16" s="70">
        <v>46254</v>
      </c>
      <c r="C16" s="71">
        <f>DATE(YEAR(BaseLanc[[#This Row],[DT Venc]]),MONTH(BaseLanc[[#This Row],[DT Venc]]),1)</f>
        <v>46235</v>
      </c>
      <c r="D16" s="72" t="s">
        <v>19</v>
      </c>
      <c r="E16" s="78" t="s">
        <v>28</v>
      </c>
      <c r="F16" s="43"/>
      <c r="G16" s="43">
        <v>500</v>
      </c>
      <c r="H16" s="78" t="s">
        <v>80</v>
      </c>
      <c r="I16" s="78" t="s">
        <v>77</v>
      </c>
      <c r="J16" s="73" t="s">
        <v>18</v>
      </c>
      <c r="K16" s="78"/>
      <c r="L16" s="73" t="s">
        <v>73</v>
      </c>
    </row>
    <row r="17" spans="1:12" ht="21" customHeight="1" x14ac:dyDescent="0.25">
      <c r="A17" s="70">
        <v>46238</v>
      </c>
      <c r="B17" s="70">
        <v>46238</v>
      </c>
      <c r="C17" s="71">
        <f>DATE(YEAR(BaseLanc[[#This Row],[DT Venc]]),MONTH(BaseLanc[[#This Row],[DT Venc]]),1)</f>
        <v>46235</v>
      </c>
      <c r="D17" s="72" t="s">
        <v>20</v>
      </c>
      <c r="E17" s="78" t="s">
        <v>81</v>
      </c>
      <c r="F17" s="43"/>
      <c r="G17" s="43">
        <v>612.29999999999995</v>
      </c>
      <c r="H17" s="78" t="s">
        <v>82</v>
      </c>
      <c r="I17" s="78" t="s">
        <v>77</v>
      </c>
      <c r="J17" s="73" t="s">
        <v>18</v>
      </c>
      <c r="K17" s="78" t="s">
        <v>83</v>
      </c>
      <c r="L17" s="73" t="s">
        <v>73</v>
      </c>
    </row>
    <row r="18" spans="1:12" ht="21" customHeight="1" x14ac:dyDescent="0.25">
      <c r="A18" s="70">
        <v>46239</v>
      </c>
      <c r="B18" s="70">
        <v>46239</v>
      </c>
      <c r="C18" s="71">
        <f>DATE(YEAR(BaseLanc[[#This Row],[DT Venc]]),MONTH(BaseLanc[[#This Row],[DT Venc]]),1)</f>
        <v>46235</v>
      </c>
      <c r="D18" s="72" t="s">
        <v>20</v>
      </c>
      <c r="E18" s="78" t="s">
        <v>21</v>
      </c>
      <c r="F18" s="43"/>
      <c r="G18" s="43">
        <v>55.9</v>
      </c>
      <c r="H18" s="78" t="s">
        <v>84</v>
      </c>
      <c r="I18" s="78" t="s">
        <v>77</v>
      </c>
      <c r="J18" s="73" t="s">
        <v>18</v>
      </c>
      <c r="K18" s="78"/>
      <c r="L18" s="73" t="s">
        <v>78</v>
      </c>
    </row>
    <row r="19" spans="1:12" ht="21" customHeight="1" x14ac:dyDescent="0.25">
      <c r="A19" s="70">
        <v>46239</v>
      </c>
      <c r="B19" s="70">
        <v>46239</v>
      </c>
      <c r="C19" s="71">
        <f>DATE(YEAR(BaseLanc[[#This Row],[DT Venc]]),MONTH(BaseLanc[[#This Row],[DT Venc]]),1)</f>
        <v>46235</v>
      </c>
      <c r="D19" s="72" t="s">
        <v>20</v>
      </c>
      <c r="E19" s="78" t="s">
        <v>85</v>
      </c>
      <c r="F19" s="74"/>
      <c r="G19" s="43">
        <v>1150</v>
      </c>
      <c r="H19" s="78" t="s">
        <v>86</v>
      </c>
      <c r="I19" s="78" t="s">
        <v>70</v>
      </c>
      <c r="J19" s="73" t="s">
        <v>18</v>
      </c>
      <c r="K19" s="78" t="s">
        <v>87</v>
      </c>
      <c r="L19" s="73" t="s">
        <v>69</v>
      </c>
    </row>
    <row r="20" spans="1:12" ht="21" customHeight="1" x14ac:dyDescent="0.25">
      <c r="A20" s="70">
        <v>46239</v>
      </c>
      <c r="B20" s="70">
        <v>46239</v>
      </c>
      <c r="C20" s="71">
        <f>DATE(YEAR(BaseLanc[[#This Row],[DT Venc]]),MONTH(BaseLanc[[#This Row],[DT Venc]]),1)</f>
        <v>46235</v>
      </c>
      <c r="D20" s="72" t="s">
        <v>20</v>
      </c>
      <c r="E20" s="78" t="s">
        <v>85</v>
      </c>
      <c r="F20" s="74"/>
      <c r="G20" s="43">
        <v>780</v>
      </c>
      <c r="H20" s="78" t="s">
        <v>88</v>
      </c>
      <c r="I20" s="78" t="s">
        <v>70</v>
      </c>
      <c r="J20" s="73" t="s">
        <v>18</v>
      </c>
      <c r="K20" s="78" t="s">
        <v>89</v>
      </c>
      <c r="L20" s="73" t="s">
        <v>69</v>
      </c>
    </row>
    <row r="21" spans="1:12" ht="21" customHeight="1" x14ac:dyDescent="0.25">
      <c r="A21" s="70">
        <v>46239</v>
      </c>
      <c r="B21" s="70">
        <v>46239</v>
      </c>
      <c r="C21" s="71">
        <f>DATE(YEAR(BaseLanc[[#This Row],[DT Venc]]),MONTH(BaseLanc[[#This Row],[DT Venc]]),1)</f>
        <v>46235</v>
      </c>
      <c r="D21" s="72" t="s">
        <v>20</v>
      </c>
      <c r="E21" s="78" t="s">
        <v>21</v>
      </c>
      <c r="F21" s="74"/>
      <c r="G21" s="43">
        <v>21.9</v>
      </c>
      <c r="H21" s="78" t="s">
        <v>90</v>
      </c>
      <c r="I21" s="78" t="s">
        <v>77</v>
      </c>
      <c r="J21" s="73" t="s">
        <v>18</v>
      </c>
      <c r="K21" s="78"/>
      <c r="L21" s="73" t="s">
        <v>78</v>
      </c>
    </row>
    <row r="22" spans="1:12" ht="21" customHeight="1" x14ac:dyDescent="0.25">
      <c r="A22" s="70">
        <v>46241</v>
      </c>
      <c r="B22" s="70">
        <v>46241</v>
      </c>
      <c r="C22" s="71">
        <f>DATE(YEAR(BaseLanc[[#This Row],[DT Venc]]),MONTH(BaseLanc[[#This Row],[DT Venc]]),1)</f>
        <v>46235</v>
      </c>
      <c r="D22" s="72" t="s">
        <v>20</v>
      </c>
      <c r="E22" s="78" t="s">
        <v>91</v>
      </c>
      <c r="F22" s="74"/>
      <c r="G22" s="43">
        <v>320</v>
      </c>
      <c r="H22" s="78" t="s">
        <v>92</v>
      </c>
      <c r="I22" s="78" t="s">
        <v>70</v>
      </c>
      <c r="J22" s="73" t="s">
        <v>18</v>
      </c>
      <c r="K22" s="78"/>
      <c r="L22" s="73" t="s">
        <v>73</v>
      </c>
    </row>
    <row r="23" spans="1:12" ht="21" customHeight="1" x14ac:dyDescent="0.25">
      <c r="A23" s="70">
        <v>46242</v>
      </c>
      <c r="B23" s="70">
        <v>46242</v>
      </c>
      <c r="C23" s="71">
        <f>DATE(YEAR(BaseLanc[[#This Row],[DT Venc]]),MONTH(BaseLanc[[#This Row],[DT Venc]]),1)</f>
        <v>46235</v>
      </c>
      <c r="D23" s="72" t="s">
        <v>20</v>
      </c>
      <c r="E23" s="78" t="s">
        <v>93</v>
      </c>
      <c r="F23" s="74"/>
      <c r="G23" s="43">
        <v>185</v>
      </c>
      <c r="H23" s="78" t="s">
        <v>94</v>
      </c>
      <c r="I23" s="78" t="s">
        <v>77</v>
      </c>
      <c r="J23" s="73" t="s">
        <v>18</v>
      </c>
      <c r="K23" s="78"/>
      <c r="L23" s="73" t="s">
        <v>78</v>
      </c>
    </row>
    <row r="24" spans="1:12" ht="21" customHeight="1" x14ac:dyDescent="0.25">
      <c r="A24" s="70">
        <v>46242</v>
      </c>
      <c r="B24" s="70">
        <v>46242</v>
      </c>
      <c r="C24" s="71">
        <f>DATE(YEAR(BaseLanc[[#This Row],[DT Venc]]),MONTH(BaseLanc[[#This Row],[DT Venc]]),1)</f>
        <v>46235</v>
      </c>
      <c r="D24" s="72" t="s">
        <v>20</v>
      </c>
      <c r="E24" s="78" t="s">
        <v>95</v>
      </c>
      <c r="F24" s="74"/>
      <c r="G24" s="43">
        <v>689.9</v>
      </c>
      <c r="H24" s="78" t="s">
        <v>96</v>
      </c>
      <c r="I24" s="78" t="s">
        <v>77</v>
      </c>
      <c r="J24" s="73" t="s">
        <v>18</v>
      </c>
      <c r="K24" s="78"/>
      <c r="L24" s="73" t="s">
        <v>69</v>
      </c>
    </row>
    <row r="25" spans="1:12" ht="21" customHeight="1" x14ac:dyDescent="0.25">
      <c r="A25" s="70">
        <v>46243</v>
      </c>
      <c r="B25" s="70">
        <v>46243</v>
      </c>
      <c r="C25" s="71">
        <f>DATE(YEAR(BaseLanc[[#This Row],[DT Venc]]),MONTH(BaseLanc[[#This Row],[DT Venc]]),1)</f>
        <v>46235</v>
      </c>
      <c r="D25" s="72" t="s">
        <v>20</v>
      </c>
      <c r="E25" s="78" t="s">
        <v>21</v>
      </c>
      <c r="F25" s="74"/>
      <c r="G25" s="43">
        <v>14.9</v>
      </c>
      <c r="H25" s="78" t="s">
        <v>97</v>
      </c>
      <c r="I25" s="78" t="s">
        <v>70</v>
      </c>
      <c r="J25" s="73" t="s">
        <v>18</v>
      </c>
      <c r="K25" s="78"/>
      <c r="L25" s="73" t="s">
        <v>78</v>
      </c>
    </row>
    <row r="26" spans="1:12" ht="21" customHeight="1" x14ac:dyDescent="0.25">
      <c r="A26" s="70">
        <v>46244</v>
      </c>
      <c r="B26" s="70">
        <v>46244</v>
      </c>
      <c r="C26" s="71">
        <f>DATE(YEAR(BaseLanc[[#This Row],[DT Venc]]),MONTH(BaseLanc[[#This Row],[DT Venc]]),1)</f>
        <v>46235</v>
      </c>
      <c r="D26" s="72" t="s">
        <v>20</v>
      </c>
      <c r="E26" s="78" t="s">
        <v>98</v>
      </c>
      <c r="F26" s="74"/>
      <c r="G26" s="43">
        <v>380</v>
      </c>
      <c r="H26" s="78" t="s">
        <v>99</v>
      </c>
      <c r="I26" s="78" t="s">
        <v>68</v>
      </c>
      <c r="J26" s="73" t="s">
        <v>18</v>
      </c>
      <c r="K26" s="78"/>
      <c r="L26" s="73" t="s">
        <v>73</v>
      </c>
    </row>
    <row r="27" spans="1:12" ht="21" customHeight="1" x14ac:dyDescent="0.25">
      <c r="A27" s="70">
        <v>46244</v>
      </c>
      <c r="B27" s="70">
        <v>46244</v>
      </c>
      <c r="C27" s="71">
        <f>DATE(YEAR(BaseLanc[[#This Row],[DT Venc]]),MONTH(BaseLanc[[#This Row],[DT Venc]]),1)</f>
        <v>46235</v>
      </c>
      <c r="D27" s="72" t="s">
        <v>20</v>
      </c>
      <c r="E27" s="78" t="s">
        <v>100</v>
      </c>
      <c r="F27" s="74"/>
      <c r="G27" s="43">
        <v>3200</v>
      </c>
      <c r="H27" s="78" t="s">
        <v>101</v>
      </c>
      <c r="I27" s="78" t="s">
        <v>77</v>
      </c>
      <c r="J27" s="73" t="s">
        <v>18</v>
      </c>
      <c r="K27" s="78"/>
      <c r="L27" s="73" t="s">
        <v>69</v>
      </c>
    </row>
    <row r="28" spans="1:12" ht="21" customHeight="1" x14ac:dyDescent="0.25">
      <c r="A28" s="70">
        <v>46244</v>
      </c>
      <c r="B28" s="70">
        <v>46244</v>
      </c>
      <c r="C28" s="71">
        <f>DATE(YEAR(BaseLanc[[#This Row],[DT Venc]]),MONTH(BaseLanc[[#This Row],[DT Venc]]),1)</f>
        <v>46235</v>
      </c>
      <c r="D28" s="72" t="s">
        <v>20</v>
      </c>
      <c r="E28" s="78" t="s">
        <v>27</v>
      </c>
      <c r="F28" s="74"/>
      <c r="G28" s="43">
        <v>785</v>
      </c>
      <c r="H28" s="78" t="s">
        <v>102</v>
      </c>
      <c r="I28" s="78" t="s">
        <v>77</v>
      </c>
      <c r="J28" s="73" t="s">
        <v>18</v>
      </c>
      <c r="K28" s="78"/>
      <c r="L28" s="73" t="s">
        <v>69</v>
      </c>
    </row>
    <row r="29" spans="1:12" ht="21" customHeight="1" x14ac:dyDescent="0.25">
      <c r="A29" s="70">
        <v>46246</v>
      </c>
      <c r="B29" s="70">
        <v>46246</v>
      </c>
      <c r="C29" s="71">
        <f>DATE(YEAR(BaseLanc[[#This Row],[DT Venc]]),MONTH(BaseLanc[[#This Row],[DT Venc]]),1)</f>
        <v>46235</v>
      </c>
      <c r="D29" s="72" t="s">
        <v>20</v>
      </c>
      <c r="E29" s="78" t="s">
        <v>23</v>
      </c>
      <c r="F29" s="74"/>
      <c r="G29" s="43">
        <v>98.2</v>
      </c>
      <c r="H29" s="78" t="s">
        <v>103</v>
      </c>
      <c r="I29" s="78" t="s">
        <v>77</v>
      </c>
      <c r="J29" s="73" t="s">
        <v>18</v>
      </c>
      <c r="K29" s="78"/>
      <c r="L29" s="73" t="s">
        <v>69</v>
      </c>
    </row>
    <row r="30" spans="1:12" ht="21" customHeight="1" x14ac:dyDescent="0.25">
      <c r="A30" s="70">
        <v>46247</v>
      </c>
      <c r="B30" s="70">
        <v>46247</v>
      </c>
      <c r="C30" s="71">
        <f>DATE(YEAR(BaseLanc[[#This Row],[DT Venc]]),MONTH(BaseLanc[[#This Row],[DT Venc]]),1)</f>
        <v>46235</v>
      </c>
      <c r="D30" s="72" t="s">
        <v>20</v>
      </c>
      <c r="E30" s="78" t="s">
        <v>81</v>
      </c>
      <c r="F30" s="74"/>
      <c r="G30" s="43">
        <v>478.55</v>
      </c>
      <c r="H30" s="78" t="s">
        <v>82</v>
      </c>
      <c r="I30" s="78" t="s">
        <v>77</v>
      </c>
      <c r="J30" s="73" t="s">
        <v>18</v>
      </c>
      <c r="K30" s="78"/>
      <c r="L30" s="73" t="s">
        <v>73</v>
      </c>
    </row>
    <row r="31" spans="1:12" ht="21" customHeight="1" x14ac:dyDescent="0.25">
      <c r="A31" s="70">
        <v>46248</v>
      </c>
      <c r="B31" s="70">
        <v>46248</v>
      </c>
      <c r="C31" s="71">
        <f>DATE(YEAR(BaseLanc[[#This Row],[DT Venc]]),MONTH(BaseLanc[[#This Row],[DT Venc]]),1)</f>
        <v>46235</v>
      </c>
      <c r="D31" s="72" t="s">
        <v>20</v>
      </c>
      <c r="E31" s="78" t="s">
        <v>104</v>
      </c>
      <c r="F31" s="74"/>
      <c r="G31" s="43">
        <v>129</v>
      </c>
      <c r="H31" s="78" t="s">
        <v>105</v>
      </c>
      <c r="I31" s="78" t="s">
        <v>77</v>
      </c>
      <c r="J31" s="73" t="s">
        <v>18</v>
      </c>
      <c r="K31" s="78"/>
      <c r="L31" s="73" t="s">
        <v>78</v>
      </c>
    </row>
    <row r="32" spans="1:12" ht="21" customHeight="1" x14ac:dyDescent="0.25">
      <c r="A32" s="70">
        <v>46249</v>
      </c>
      <c r="B32" s="70">
        <v>46249</v>
      </c>
      <c r="C32" s="71">
        <f>DATE(YEAR(BaseLanc[[#This Row],[DT Venc]]),MONTH(BaseLanc[[#This Row],[DT Venc]]),1)</f>
        <v>46235</v>
      </c>
      <c r="D32" s="72" t="s">
        <v>20</v>
      </c>
      <c r="E32" s="78" t="s">
        <v>25</v>
      </c>
      <c r="F32" s="74"/>
      <c r="G32" s="43">
        <v>238.4</v>
      </c>
      <c r="H32" s="78" t="s">
        <v>106</v>
      </c>
      <c r="I32" s="78" t="s">
        <v>77</v>
      </c>
      <c r="J32" s="73" t="s">
        <v>18</v>
      </c>
      <c r="K32" s="78"/>
      <c r="L32" s="73" t="s">
        <v>69</v>
      </c>
    </row>
    <row r="33" spans="1:12" ht="21" customHeight="1" x14ac:dyDescent="0.25">
      <c r="A33" s="70">
        <v>46250</v>
      </c>
      <c r="B33" s="70">
        <v>46250</v>
      </c>
      <c r="C33" s="71">
        <f>DATE(YEAR(BaseLanc[[#This Row],[DT Venc]]),MONTH(BaseLanc[[#This Row],[DT Venc]]),1)</f>
        <v>46235</v>
      </c>
      <c r="D33" s="72" t="s">
        <v>20</v>
      </c>
      <c r="E33" s="78" t="s">
        <v>91</v>
      </c>
      <c r="F33" s="74"/>
      <c r="G33" s="43">
        <v>86.4</v>
      </c>
      <c r="H33" s="78" t="s">
        <v>107</v>
      </c>
      <c r="I33" s="78" t="s">
        <v>68</v>
      </c>
      <c r="J33" s="73" t="s">
        <v>18</v>
      </c>
      <c r="K33" s="78"/>
      <c r="L33" s="73" t="s">
        <v>78</v>
      </c>
    </row>
    <row r="34" spans="1:12" ht="21" customHeight="1" x14ac:dyDescent="0.25">
      <c r="A34" s="70">
        <v>46252</v>
      </c>
      <c r="B34" s="70">
        <v>46252</v>
      </c>
      <c r="C34" s="71">
        <f>DATE(YEAR(BaseLanc[[#This Row],[DT Venc]]),MONTH(BaseLanc[[#This Row],[DT Venc]]),1)</f>
        <v>46235</v>
      </c>
      <c r="D34" s="72" t="s">
        <v>20</v>
      </c>
      <c r="E34" s="78" t="s">
        <v>26</v>
      </c>
      <c r="F34" s="74"/>
      <c r="G34" s="43">
        <v>79.900000000000006</v>
      </c>
      <c r="H34" s="78" t="s">
        <v>108</v>
      </c>
      <c r="I34" s="78" t="s">
        <v>70</v>
      </c>
      <c r="J34" s="73" t="s">
        <v>18</v>
      </c>
      <c r="K34" s="78"/>
      <c r="L34" s="73" t="s">
        <v>73</v>
      </c>
    </row>
    <row r="35" spans="1:12" ht="21" customHeight="1" x14ac:dyDescent="0.25">
      <c r="A35" s="70">
        <v>46252</v>
      </c>
      <c r="B35" s="70">
        <v>46252</v>
      </c>
      <c r="C35" s="71">
        <f>DATE(YEAR(BaseLanc[[#This Row],[DT Venc]]),MONTH(BaseLanc[[#This Row],[DT Venc]]),1)</f>
        <v>46235</v>
      </c>
      <c r="D35" s="72" t="s">
        <v>20</v>
      </c>
      <c r="E35" s="78" t="s">
        <v>26</v>
      </c>
      <c r="F35" s="74"/>
      <c r="G35" s="43">
        <v>59.9</v>
      </c>
      <c r="H35" s="78" t="s">
        <v>108</v>
      </c>
      <c r="I35" s="78" t="s">
        <v>68</v>
      </c>
      <c r="J35" s="73" t="s">
        <v>18</v>
      </c>
      <c r="K35" s="78"/>
      <c r="L35" s="73" t="s">
        <v>73</v>
      </c>
    </row>
    <row r="36" spans="1:12" customFormat="1" ht="21" customHeight="1" x14ac:dyDescent="0.3">
      <c r="A36" s="70">
        <v>46253</v>
      </c>
      <c r="B36" s="70">
        <v>46253</v>
      </c>
      <c r="C36" s="71">
        <f>DATE(YEAR(BaseLanc[[#This Row],[DT Venc]]),MONTH(BaseLanc[[#This Row],[DT Venc]]),1)</f>
        <v>46235</v>
      </c>
      <c r="D36" s="72" t="s">
        <v>20</v>
      </c>
      <c r="E36" s="78" t="s">
        <v>95</v>
      </c>
      <c r="F36" s="43"/>
      <c r="G36" s="43">
        <v>142.30000000000001</v>
      </c>
      <c r="H36" s="78" t="s">
        <v>109</v>
      </c>
      <c r="I36" s="78" t="s">
        <v>77</v>
      </c>
      <c r="J36" s="73" t="s">
        <v>18</v>
      </c>
      <c r="K36" s="78"/>
      <c r="L36" s="73" t="s">
        <v>73</v>
      </c>
    </row>
    <row r="37" spans="1:12" customFormat="1" ht="21" customHeight="1" x14ac:dyDescent="0.3">
      <c r="A37" s="70">
        <v>46254</v>
      </c>
      <c r="B37" s="70">
        <v>46254</v>
      </c>
      <c r="C37" s="71">
        <f>DATE(YEAR(BaseLanc[[#This Row],[DT Venc]]),MONTH(BaseLanc[[#This Row],[DT Venc]]),1)</f>
        <v>46235</v>
      </c>
      <c r="D37" s="72" t="s">
        <v>20</v>
      </c>
      <c r="E37" s="78" t="s">
        <v>24</v>
      </c>
      <c r="F37" s="43"/>
      <c r="G37" s="43">
        <v>129.9</v>
      </c>
      <c r="H37" s="78" t="s">
        <v>110</v>
      </c>
      <c r="I37" s="78" t="s">
        <v>77</v>
      </c>
      <c r="J37" s="73" t="s">
        <v>18</v>
      </c>
      <c r="K37" s="78"/>
      <c r="L37" s="73" t="s">
        <v>73</v>
      </c>
    </row>
    <row r="38" spans="1:12" customFormat="1" ht="21" customHeight="1" x14ac:dyDescent="0.3">
      <c r="A38" s="70">
        <v>46255</v>
      </c>
      <c r="B38" s="70">
        <v>46255</v>
      </c>
      <c r="C38" s="71">
        <f>DATE(YEAR(BaseLanc[[#This Row],[DT Venc]]),MONTH(BaseLanc[[#This Row],[DT Venc]]),1)</f>
        <v>46235</v>
      </c>
      <c r="D38" s="72" t="s">
        <v>20</v>
      </c>
      <c r="E38" s="78" t="s">
        <v>93</v>
      </c>
      <c r="F38" s="43"/>
      <c r="G38" s="43">
        <v>240</v>
      </c>
      <c r="H38" s="78" t="s">
        <v>111</v>
      </c>
      <c r="I38" s="78" t="s">
        <v>77</v>
      </c>
      <c r="J38" s="73" t="s">
        <v>18</v>
      </c>
      <c r="K38" s="78"/>
      <c r="L38" s="73" t="s">
        <v>78</v>
      </c>
    </row>
    <row r="39" spans="1:12" customFormat="1" ht="21" customHeight="1" x14ac:dyDescent="0.3">
      <c r="A39" s="70">
        <v>46256</v>
      </c>
      <c r="B39" s="70">
        <v>46256</v>
      </c>
      <c r="C39" s="71">
        <f>DATE(YEAR(BaseLanc[[#This Row],[DT Venc]]),MONTH(BaseLanc[[#This Row],[DT Venc]]),1)</f>
        <v>46235</v>
      </c>
      <c r="D39" s="72" t="s">
        <v>20</v>
      </c>
      <c r="E39" s="78" t="s">
        <v>91</v>
      </c>
      <c r="F39" s="43"/>
      <c r="G39" s="43">
        <v>290</v>
      </c>
      <c r="H39" s="78" t="s">
        <v>92</v>
      </c>
      <c r="I39" s="78" t="s">
        <v>68</v>
      </c>
      <c r="J39" s="73" t="s">
        <v>18</v>
      </c>
      <c r="K39" s="78"/>
      <c r="L39" s="73" t="s">
        <v>73</v>
      </c>
    </row>
    <row r="40" spans="1:12" customFormat="1" ht="21" customHeight="1" x14ac:dyDescent="0.3">
      <c r="A40" s="70">
        <v>46258</v>
      </c>
      <c r="B40" s="70">
        <v>46258</v>
      </c>
      <c r="C40" s="71">
        <f>DATE(YEAR(BaseLanc[[#This Row],[DT Venc]]),MONTH(BaseLanc[[#This Row],[DT Venc]]),1)</f>
        <v>46235</v>
      </c>
      <c r="D40" s="72" t="s">
        <v>20</v>
      </c>
      <c r="E40" s="78" t="s">
        <v>81</v>
      </c>
      <c r="F40" s="43"/>
      <c r="G40" s="43">
        <v>701.2</v>
      </c>
      <c r="H40" s="78" t="s">
        <v>82</v>
      </c>
      <c r="I40" s="78" t="s">
        <v>77</v>
      </c>
      <c r="J40" s="73" t="s">
        <v>18</v>
      </c>
      <c r="K40" s="78"/>
      <c r="L40" s="73" t="s">
        <v>73</v>
      </c>
    </row>
    <row r="41" spans="1:12" customFormat="1" ht="21" customHeight="1" x14ac:dyDescent="0.3">
      <c r="A41" s="70">
        <v>46259</v>
      </c>
      <c r="B41" s="70">
        <v>46259</v>
      </c>
      <c r="C41" s="71">
        <f>DATE(YEAR(BaseLanc[[#This Row],[DT Venc]]),MONTH(BaseLanc[[#This Row],[DT Venc]]),1)</f>
        <v>46235</v>
      </c>
      <c r="D41" s="72" t="s">
        <v>20</v>
      </c>
      <c r="E41" s="78" t="s">
        <v>22</v>
      </c>
      <c r="F41" s="43"/>
      <c r="G41" s="43">
        <v>3184.6</v>
      </c>
      <c r="H41" s="78" t="s">
        <v>112</v>
      </c>
      <c r="I41" s="78" t="s">
        <v>77</v>
      </c>
      <c r="J41" s="73" t="s">
        <v>18</v>
      </c>
      <c r="K41" s="78"/>
      <c r="L41" s="73" t="s">
        <v>69</v>
      </c>
    </row>
    <row r="42" spans="1:12" customFormat="1" ht="21" customHeight="1" x14ac:dyDescent="0.3">
      <c r="A42" s="70">
        <v>46260</v>
      </c>
      <c r="B42" s="70">
        <v>46260</v>
      </c>
      <c r="C42" s="71">
        <f>DATE(YEAR(BaseLanc[[#This Row],[DT Venc]]),MONTH(BaseLanc[[#This Row],[DT Venc]]),1)</f>
        <v>46235</v>
      </c>
      <c r="D42" s="72" t="s">
        <v>20</v>
      </c>
      <c r="E42" s="78" t="s">
        <v>104</v>
      </c>
      <c r="F42" s="43"/>
      <c r="G42" s="43">
        <v>210</v>
      </c>
      <c r="H42" s="78" t="s">
        <v>113</v>
      </c>
      <c r="I42" s="78" t="s">
        <v>77</v>
      </c>
      <c r="J42" s="73" t="s">
        <v>18</v>
      </c>
      <c r="K42" s="78"/>
      <c r="L42" s="73" t="s">
        <v>78</v>
      </c>
    </row>
    <row r="43" spans="1:12" customFormat="1" ht="21" customHeight="1" x14ac:dyDescent="0.3">
      <c r="A43" s="70">
        <v>46270</v>
      </c>
      <c r="B43" s="70">
        <v>46270</v>
      </c>
      <c r="C43" s="71">
        <f>DATE(YEAR(BaseLanc[[#This Row],[DT Venc]]),MONTH(BaseLanc[[#This Row],[DT Venc]]),1)</f>
        <v>46266</v>
      </c>
      <c r="D43" s="72" t="s">
        <v>13</v>
      </c>
      <c r="E43" s="78" t="s">
        <v>14</v>
      </c>
      <c r="F43" s="43">
        <v>5600</v>
      </c>
      <c r="G43" s="43"/>
      <c r="H43" s="78" t="s">
        <v>67</v>
      </c>
      <c r="I43" s="78" t="s">
        <v>68</v>
      </c>
      <c r="J43" s="73" t="s">
        <v>18</v>
      </c>
      <c r="K43" s="78"/>
      <c r="L43" s="73" t="s">
        <v>69</v>
      </c>
    </row>
    <row r="44" spans="1:12" customFormat="1" ht="21" customHeight="1" x14ac:dyDescent="0.3">
      <c r="A44" s="70">
        <v>46270</v>
      </c>
      <c r="B44" s="70">
        <v>46270</v>
      </c>
      <c r="C44" s="71">
        <f>DATE(YEAR(BaseLanc[[#This Row],[DT Venc]]),MONTH(BaseLanc[[#This Row],[DT Venc]]),1)</f>
        <v>46266</v>
      </c>
      <c r="D44" s="72" t="s">
        <v>13</v>
      </c>
      <c r="E44" s="78" t="s">
        <v>14</v>
      </c>
      <c r="F44" s="43">
        <v>9800</v>
      </c>
      <c r="G44" s="43"/>
      <c r="H44" s="78" t="s">
        <v>67</v>
      </c>
      <c r="I44" s="78" t="s">
        <v>70</v>
      </c>
      <c r="J44" s="73" t="s">
        <v>18</v>
      </c>
      <c r="K44" s="78"/>
      <c r="L44" s="73" t="s">
        <v>69</v>
      </c>
    </row>
    <row r="45" spans="1:12" customFormat="1" ht="21" customHeight="1" x14ac:dyDescent="0.3">
      <c r="A45" s="70">
        <v>46283</v>
      </c>
      <c r="B45" s="70">
        <v>46285</v>
      </c>
      <c r="C45" s="71">
        <f>DATE(YEAR(BaseLanc[[#This Row],[DT Venc]]),MONTH(BaseLanc[[#This Row],[DT Venc]]),1)</f>
        <v>46266</v>
      </c>
      <c r="D45" s="72" t="s">
        <v>13</v>
      </c>
      <c r="E45" s="78" t="s">
        <v>16</v>
      </c>
      <c r="F45" s="43">
        <v>2100</v>
      </c>
      <c r="G45" s="43"/>
      <c r="H45" s="78" t="s">
        <v>74</v>
      </c>
      <c r="I45" s="78" t="s">
        <v>70</v>
      </c>
      <c r="J45" s="73" t="s">
        <v>18</v>
      </c>
      <c r="K45" s="78"/>
      <c r="L45" s="73" t="s">
        <v>73</v>
      </c>
    </row>
    <row r="46" spans="1:12" customFormat="1" ht="21" customHeight="1" x14ac:dyDescent="0.3">
      <c r="A46" s="70">
        <v>46293</v>
      </c>
      <c r="B46" s="70">
        <v>46293</v>
      </c>
      <c r="C46" s="71">
        <f>DATE(YEAR(BaseLanc[[#This Row],[DT Venc]]),MONTH(BaseLanc[[#This Row],[DT Venc]]),1)</f>
        <v>46266</v>
      </c>
      <c r="D46" s="72" t="s">
        <v>13</v>
      </c>
      <c r="E46" s="78" t="s">
        <v>75</v>
      </c>
      <c r="F46" s="74">
        <v>318.75</v>
      </c>
      <c r="G46" s="43"/>
      <c r="H46" s="78" t="s">
        <v>76</v>
      </c>
      <c r="I46" s="78" t="s">
        <v>77</v>
      </c>
      <c r="J46" s="73" t="s">
        <v>18</v>
      </c>
      <c r="K46" s="78"/>
      <c r="L46" s="73" t="s">
        <v>78</v>
      </c>
    </row>
    <row r="47" spans="1:12" customFormat="1" ht="21" customHeight="1" x14ac:dyDescent="0.3">
      <c r="A47" s="70">
        <v>46271</v>
      </c>
      <c r="B47" s="70">
        <v>46271</v>
      </c>
      <c r="C47" s="71">
        <f>DATE(YEAR(BaseLanc[[#This Row],[DT Venc]]),MONTH(BaseLanc[[#This Row],[DT Venc]]),1)</f>
        <v>46266</v>
      </c>
      <c r="D47" s="72" t="s">
        <v>19</v>
      </c>
      <c r="E47" s="78" t="s">
        <v>28</v>
      </c>
      <c r="F47" s="74"/>
      <c r="G47" s="43">
        <v>1000</v>
      </c>
      <c r="H47" s="78" t="s">
        <v>79</v>
      </c>
      <c r="I47" s="78" t="s">
        <v>70</v>
      </c>
      <c r="J47" s="73" t="s">
        <v>18</v>
      </c>
      <c r="K47" s="78"/>
      <c r="L47" s="73" t="s">
        <v>73</v>
      </c>
    </row>
    <row r="48" spans="1:12" customFormat="1" ht="21" customHeight="1" x14ac:dyDescent="0.3">
      <c r="A48" s="70">
        <v>46285</v>
      </c>
      <c r="B48" s="70">
        <v>46285</v>
      </c>
      <c r="C48" s="71">
        <f>DATE(YEAR(BaseLanc[[#This Row],[DT Venc]]),MONTH(BaseLanc[[#This Row],[DT Venc]]),1)</f>
        <v>46266</v>
      </c>
      <c r="D48" s="72" t="s">
        <v>19</v>
      </c>
      <c r="E48" s="78" t="s">
        <v>28</v>
      </c>
      <c r="F48" s="74"/>
      <c r="G48" s="43">
        <v>500</v>
      </c>
      <c r="H48" s="78" t="s">
        <v>80</v>
      </c>
      <c r="I48" s="78" t="s">
        <v>77</v>
      </c>
      <c r="J48" s="73" t="s">
        <v>18</v>
      </c>
      <c r="K48" s="78"/>
      <c r="L48" s="73" t="s">
        <v>73</v>
      </c>
    </row>
    <row r="49" spans="1:12" customFormat="1" ht="21" customHeight="1" x14ac:dyDescent="0.3">
      <c r="A49" s="70">
        <v>46269</v>
      </c>
      <c r="B49" s="70">
        <v>46269</v>
      </c>
      <c r="C49" s="71">
        <f>DATE(YEAR(BaseLanc[[#This Row],[DT Venc]]),MONTH(BaseLanc[[#This Row],[DT Venc]]),1)</f>
        <v>46266</v>
      </c>
      <c r="D49" s="72" t="s">
        <v>20</v>
      </c>
      <c r="E49" s="78" t="s">
        <v>81</v>
      </c>
      <c r="F49" s="74"/>
      <c r="G49" s="43">
        <v>588.4</v>
      </c>
      <c r="H49" s="78" t="s">
        <v>82</v>
      </c>
      <c r="I49" s="78" t="s">
        <v>77</v>
      </c>
      <c r="J49" s="73" t="s">
        <v>18</v>
      </c>
      <c r="K49" s="78" t="s">
        <v>83</v>
      </c>
      <c r="L49" s="73" t="s">
        <v>73</v>
      </c>
    </row>
    <row r="50" spans="1:12" customFormat="1" ht="21" customHeight="1" x14ac:dyDescent="0.3">
      <c r="A50" s="70">
        <v>46270</v>
      </c>
      <c r="B50" s="70">
        <v>46270</v>
      </c>
      <c r="C50" s="71">
        <f>DATE(YEAR(BaseLanc[[#This Row],[DT Venc]]),MONTH(BaseLanc[[#This Row],[DT Venc]]),1)</f>
        <v>46266</v>
      </c>
      <c r="D50" s="72" t="s">
        <v>20</v>
      </c>
      <c r="E50" s="78" t="s">
        <v>85</v>
      </c>
      <c r="F50" s="74"/>
      <c r="G50" s="43">
        <v>1150</v>
      </c>
      <c r="H50" s="78" t="s">
        <v>86</v>
      </c>
      <c r="I50" s="78" t="s">
        <v>70</v>
      </c>
      <c r="J50" s="73" t="s">
        <v>18</v>
      </c>
      <c r="K50" s="78" t="s">
        <v>87</v>
      </c>
      <c r="L50" s="73" t="s">
        <v>69</v>
      </c>
    </row>
    <row r="51" spans="1:12" customFormat="1" ht="21" customHeight="1" x14ac:dyDescent="0.3">
      <c r="A51" s="70">
        <v>46270</v>
      </c>
      <c r="B51" s="70">
        <v>46270</v>
      </c>
      <c r="C51" s="71">
        <f>DATE(YEAR(BaseLanc[[#This Row],[DT Venc]]),MONTH(BaseLanc[[#This Row],[DT Venc]]),1)</f>
        <v>46266</v>
      </c>
      <c r="D51" s="72" t="s">
        <v>20</v>
      </c>
      <c r="E51" s="78" t="s">
        <v>85</v>
      </c>
      <c r="F51" s="74"/>
      <c r="G51" s="43">
        <v>780</v>
      </c>
      <c r="H51" s="78" t="s">
        <v>88</v>
      </c>
      <c r="I51" s="78" t="s">
        <v>70</v>
      </c>
      <c r="J51" s="73" t="s">
        <v>18</v>
      </c>
      <c r="K51" s="78" t="s">
        <v>89</v>
      </c>
      <c r="L51" s="73" t="s">
        <v>69</v>
      </c>
    </row>
    <row r="52" spans="1:12" customFormat="1" ht="21" customHeight="1" x14ac:dyDescent="0.3">
      <c r="A52" s="70">
        <v>46270</v>
      </c>
      <c r="B52" s="70">
        <v>46270</v>
      </c>
      <c r="C52" s="71">
        <f>DATE(YEAR(BaseLanc[[#This Row],[DT Venc]]),MONTH(BaseLanc[[#This Row],[DT Venc]]),1)</f>
        <v>46266</v>
      </c>
      <c r="D52" s="72" t="s">
        <v>20</v>
      </c>
      <c r="E52" s="78" t="s">
        <v>21</v>
      </c>
      <c r="F52" s="74"/>
      <c r="G52" s="43">
        <v>55.9</v>
      </c>
      <c r="H52" s="78" t="s">
        <v>84</v>
      </c>
      <c r="I52" s="78" t="s">
        <v>77</v>
      </c>
      <c r="J52" s="73" t="s">
        <v>18</v>
      </c>
      <c r="K52" s="78"/>
      <c r="L52" s="73" t="s">
        <v>78</v>
      </c>
    </row>
    <row r="53" spans="1:12" customFormat="1" ht="21" customHeight="1" x14ac:dyDescent="0.3">
      <c r="A53" s="70">
        <v>46270</v>
      </c>
      <c r="B53" s="70">
        <v>46270</v>
      </c>
      <c r="C53" s="71">
        <f>DATE(YEAR(BaseLanc[[#This Row],[DT Venc]]),MONTH(BaseLanc[[#This Row],[DT Venc]]),1)</f>
        <v>46266</v>
      </c>
      <c r="D53" s="72" t="s">
        <v>20</v>
      </c>
      <c r="E53" s="78" t="s">
        <v>21</v>
      </c>
      <c r="F53" s="74"/>
      <c r="G53" s="43">
        <v>21.9</v>
      </c>
      <c r="H53" s="78" t="s">
        <v>90</v>
      </c>
      <c r="I53" s="78" t="s">
        <v>77</v>
      </c>
      <c r="J53" s="73" t="s">
        <v>18</v>
      </c>
      <c r="K53" s="78"/>
      <c r="L53" s="73" t="s">
        <v>78</v>
      </c>
    </row>
    <row r="54" spans="1:12" customFormat="1" ht="21" customHeight="1" x14ac:dyDescent="0.3">
      <c r="A54" s="70">
        <v>46272</v>
      </c>
      <c r="B54" s="70">
        <v>46272</v>
      </c>
      <c r="C54" s="71">
        <f>DATE(YEAR(BaseLanc[[#This Row],[DT Venc]]),MONTH(BaseLanc[[#This Row],[DT Venc]]),1)</f>
        <v>46266</v>
      </c>
      <c r="D54" s="72" t="s">
        <v>20</v>
      </c>
      <c r="E54" s="78" t="s">
        <v>91</v>
      </c>
      <c r="F54" s="74"/>
      <c r="G54" s="43">
        <v>335</v>
      </c>
      <c r="H54" s="78" t="s">
        <v>92</v>
      </c>
      <c r="I54" s="78" t="s">
        <v>70</v>
      </c>
      <c r="J54" s="73" t="s">
        <v>18</v>
      </c>
      <c r="K54" s="78"/>
      <c r="L54" s="73" t="s">
        <v>73</v>
      </c>
    </row>
    <row r="55" spans="1:12" customFormat="1" ht="21" customHeight="1" x14ac:dyDescent="0.3">
      <c r="A55" s="70">
        <v>46273</v>
      </c>
      <c r="B55" s="70">
        <v>46273</v>
      </c>
      <c r="C55" s="71">
        <f>DATE(YEAR(BaseLanc[[#This Row],[DT Venc]]),MONTH(BaseLanc[[#This Row],[DT Venc]]),1)</f>
        <v>46266</v>
      </c>
      <c r="D55" s="72" t="s">
        <v>20</v>
      </c>
      <c r="E55" s="78" t="s">
        <v>95</v>
      </c>
      <c r="F55" s="74"/>
      <c r="G55" s="43">
        <v>689.9</v>
      </c>
      <c r="H55" s="78" t="s">
        <v>96</v>
      </c>
      <c r="I55" s="78" t="s">
        <v>77</v>
      </c>
      <c r="J55" s="73" t="s">
        <v>18</v>
      </c>
      <c r="K55" s="78"/>
      <c r="L55" s="73" t="s">
        <v>69</v>
      </c>
    </row>
    <row r="56" spans="1:12" customFormat="1" ht="21" customHeight="1" x14ac:dyDescent="0.3">
      <c r="A56" s="70">
        <v>46273</v>
      </c>
      <c r="B56" s="70">
        <v>46273</v>
      </c>
      <c r="C56" s="71">
        <f>DATE(YEAR(BaseLanc[[#This Row],[DT Venc]]),MONTH(BaseLanc[[#This Row],[DT Venc]]),1)</f>
        <v>46266</v>
      </c>
      <c r="D56" s="72" t="s">
        <v>20</v>
      </c>
      <c r="E56" s="78" t="s">
        <v>93</v>
      </c>
      <c r="F56" s="74"/>
      <c r="G56" s="43">
        <v>185</v>
      </c>
      <c r="H56" s="78" t="s">
        <v>94</v>
      </c>
      <c r="I56" s="78" t="s">
        <v>77</v>
      </c>
      <c r="J56" s="73" t="s">
        <v>18</v>
      </c>
      <c r="K56" s="78"/>
      <c r="L56" s="73" t="s">
        <v>78</v>
      </c>
    </row>
    <row r="57" spans="1:12" customFormat="1" ht="21" customHeight="1" x14ac:dyDescent="0.3">
      <c r="A57" s="70">
        <v>46274</v>
      </c>
      <c r="B57" s="70">
        <v>46274</v>
      </c>
      <c r="C57" s="71">
        <f>DATE(YEAR(BaseLanc[[#This Row],[DT Venc]]),MONTH(BaseLanc[[#This Row],[DT Venc]]),1)</f>
        <v>46266</v>
      </c>
      <c r="D57" s="72" t="s">
        <v>20</v>
      </c>
      <c r="E57" s="78" t="s">
        <v>21</v>
      </c>
      <c r="F57" s="74"/>
      <c r="G57" s="43">
        <v>14.9</v>
      </c>
      <c r="H57" s="78" t="s">
        <v>97</v>
      </c>
      <c r="I57" s="78" t="s">
        <v>70</v>
      </c>
      <c r="J57" s="73" t="s">
        <v>18</v>
      </c>
      <c r="K57" s="78"/>
      <c r="L57" s="73" t="s">
        <v>78</v>
      </c>
    </row>
    <row r="58" spans="1:12" customFormat="1" ht="21" customHeight="1" x14ac:dyDescent="0.3">
      <c r="A58" s="70">
        <v>46275</v>
      </c>
      <c r="B58" s="70">
        <v>46275</v>
      </c>
      <c r="C58" s="71">
        <f>DATE(YEAR(BaseLanc[[#This Row],[DT Venc]]),MONTH(BaseLanc[[#This Row],[DT Venc]]),1)</f>
        <v>46266</v>
      </c>
      <c r="D58" s="72" t="s">
        <v>20</v>
      </c>
      <c r="E58" s="78" t="s">
        <v>98</v>
      </c>
      <c r="F58" s="74"/>
      <c r="G58" s="43">
        <v>380</v>
      </c>
      <c r="H58" s="78" t="s">
        <v>99</v>
      </c>
      <c r="I58" s="78" t="s">
        <v>68</v>
      </c>
      <c r="J58" s="73" t="s">
        <v>18</v>
      </c>
      <c r="K58" s="78"/>
      <c r="L58" s="73" t="s">
        <v>73</v>
      </c>
    </row>
    <row r="59" spans="1:12" customFormat="1" ht="21" customHeight="1" x14ac:dyDescent="0.3">
      <c r="A59" s="70">
        <v>46275</v>
      </c>
      <c r="B59" s="70">
        <v>46275</v>
      </c>
      <c r="C59" s="71">
        <f>DATE(YEAR(BaseLanc[[#This Row],[DT Venc]]),MONTH(BaseLanc[[#This Row],[DT Venc]]),1)</f>
        <v>46266</v>
      </c>
      <c r="D59" s="72" t="s">
        <v>20</v>
      </c>
      <c r="E59" s="78" t="s">
        <v>27</v>
      </c>
      <c r="F59" s="74"/>
      <c r="G59" s="43">
        <v>785</v>
      </c>
      <c r="H59" s="78" t="s">
        <v>102</v>
      </c>
      <c r="I59" s="78" t="s">
        <v>77</v>
      </c>
      <c r="J59" s="73" t="s">
        <v>18</v>
      </c>
      <c r="K59" s="78"/>
      <c r="L59" s="73" t="s">
        <v>69</v>
      </c>
    </row>
    <row r="60" spans="1:12" customFormat="1" ht="21" customHeight="1" x14ac:dyDescent="0.3">
      <c r="A60" s="70">
        <v>46275</v>
      </c>
      <c r="B60" s="70">
        <v>46275</v>
      </c>
      <c r="C60" s="71">
        <f>DATE(YEAR(BaseLanc[[#This Row],[DT Venc]]),MONTH(BaseLanc[[#This Row],[DT Venc]]),1)</f>
        <v>46266</v>
      </c>
      <c r="D60" s="72" t="s">
        <v>20</v>
      </c>
      <c r="E60" s="78" t="s">
        <v>100</v>
      </c>
      <c r="F60" s="74"/>
      <c r="G60" s="43">
        <v>3200</v>
      </c>
      <c r="H60" s="78" t="s">
        <v>101</v>
      </c>
      <c r="I60" s="78" t="s">
        <v>77</v>
      </c>
      <c r="J60" s="73" t="s">
        <v>18</v>
      </c>
      <c r="K60" s="78"/>
      <c r="L60" s="73" t="s">
        <v>69</v>
      </c>
    </row>
    <row r="61" spans="1:12" customFormat="1" ht="21" customHeight="1" x14ac:dyDescent="0.3">
      <c r="A61" s="70">
        <v>46277</v>
      </c>
      <c r="B61" s="70">
        <v>46277</v>
      </c>
      <c r="C61" s="71">
        <f>DATE(YEAR(BaseLanc[[#This Row],[DT Venc]]),MONTH(BaseLanc[[#This Row],[DT Venc]]),1)</f>
        <v>46266</v>
      </c>
      <c r="D61" s="72" t="s">
        <v>20</v>
      </c>
      <c r="E61" s="78" t="s">
        <v>23</v>
      </c>
      <c r="F61" s="74"/>
      <c r="G61" s="43">
        <v>104.6</v>
      </c>
      <c r="H61" s="78" t="s">
        <v>103</v>
      </c>
      <c r="I61" s="78" t="s">
        <v>77</v>
      </c>
      <c r="J61" s="73" t="s">
        <v>18</v>
      </c>
      <c r="K61" s="78"/>
      <c r="L61" s="73" t="s">
        <v>69</v>
      </c>
    </row>
    <row r="62" spans="1:12" customFormat="1" ht="21" customHeight="1" x14ac:dyDescent="0.3">
      <c r="A62" s="70">
        <v>46278</v>
      </c>
      <c r="B62" s="70">
        <v>46278</v>
      </c>
      <c r="C62" s="71">
        <f>DATE(YEAR(BaseLanc[[#This Row],[DT Venc]]),MONTH(BaseLanc[[#This Row],[DT Venc]]),1)</f>
        <v>46266</v>
      </c>
      <c r="D62" s="72" t="s">
        <v>20</v>
      </c>
      <c r="E62" s="78" t="s">
        <v>81</v>
      </c>
      <c r="F62" s="74"/>
      <c r="G62" s="43">
        <v>512.1</v>
      </c>
      <c r="H62" s="78" t="s">
        <v>82</v>
      </c>
      <c r="I62" s="78" t="s">
        <v>77</v>
      </c>
      <c r="J62" s="73" t="s">
        <v>18</v>
      </c>
      <c r="K62" s="78"/>
      <c r="L62" s="73" t="s">
        <v>73</v>
      </c>
    </row>
    <row r="63" spans="1:12" customFormat="1" ht="21" customHeight="1" x14ac:dyDescent="0.3">
      <c r="A63" s="70">
        <v>46279</v>
      </c>
      <c r="B63" s="70">
        <v>46279</v>
      </c>
      <c r="C63" s="71">
        <f>DATE(YEAR(BaseLanc[[#This Row],[DT Venc]]),MONTH(BaseLanc[[#This Row],[DT Venc]]),1)</f>
        <v>46266</v>
      </c>
      <c r="D63" s="72" t="s">
        <v>20</v>
      </c>
      <c r="E63" s="78" t="s">
        <v>104</v>
      </c>
      <c r="F63" s="74"/>
      <c r="G63" s="43">
        <v>189.9</v>
      </c>
      <c r="H63" s="78" t="s">
        <v>105</v>
      </c>
      <c r="I63" s="78" t="s">
        <v>77</v>
      </c>
      <c r="J63" s="73" t="s">
        <v>18</v>
      </c>
      <c r="K63" s="78"/>
      <c r="L63" s="73" t="s">
        <v>78</v>
      </c>
    </row>
    <row r="64" spans="1:12" customFormat="1" ht="21" customHeight="1" x14ac:dyDescent="0.3">
      <c r="A64" s="70">
        <v>46280</v>
      </c>
      <c r="B64" s="70">
        <v>46280</v>
      </c>
      <c r="C64" s="71">
        <f>DATE(YEAR(BaseLanc[[#This Row],[DT Venc]]),MONTH(BaseLanc[[#This Row],[DT Venc]]),1)</f>
        <v>46266</v>
      </c>
      <c r="D64" s="72" t="s">
        <v>20</v>
      </c>
      <c r="E64" s="78" t="s">
        <v>25</v>
      </c>
      <c r="F64" s="43"/>
      <c r="G64" s="43">
        <v>261.14999999999998</v>
      </c>
      <c r="H64" s="78" t="s">
        <v>106</v>
      </c>
      <c r="I64" s="78" t="s">
        <v>77</v>
      </c>
      <c r="J64" s="73" t="s">
        <v>18</v>
      </c>
      <c r="K64" s="78"/>
      <c r="L64" s="73" t="s">
        <v>69</v>
      </c>
    </row>
    <row r="65" spans="1:12" customFormat="1" ht="21" customHeight="1" x14ac:dyDescent="0.3">
      <c r="A65" s="70">
        <v>46281</v>
      </c>
      <c r="B65" s="70">
        <v>46281</v>
      </c>
      <c r="C65" s="71">
        <f>DATE(YEAR(BaseLanc[[#This Row],[DT Venc]]),MONTH(BaseLanc[[#This Row],[DT Venc]]),1)</f>
        <v>46266</v>
      </c>
      <c r="D65" s="72" t="s">
        <v>20</v>
      </c>
      <c r="E65" s="78" t="s">
        <v>91</v>
      </c>
      <c r="F65" s="43"/>
      <c r="G65" s="43">
        <v>86.4</v>
      </c>
      <c r="H65" s="78" t="s">
        <v>107</v>
      </c>
      <c r="I65" s="78" t="s">
        <v>68</v>
      </c>
      <c r="J65" s="73" t="s">
        <v>18</v>
      </c>
      <c r="K65" s="78"/>
      <c r="L65" s="73" t="s">
        <v>78</v>
      </c>
    </row>
    <row r="66" spans="1:12" customFormat="1" ht="21" customHeight="1" x14ac:dyDescent="0.3">
      <c r="A66" s="70">
        <v>46283</v>
      </c>
      <c r="B66" s="70">
        <v>46283</v>
      </c>
      <c r="C66" s="71">
        <f>DATE(YEAR(BaseLanc[[#This Row],[DT Venc]]),MONTH(BaseLanc[[#This Row],[DT Venc]]),1)</f>
        <v>46266</v>
      </c>
      <c r="D66" s="72" t="s">
        <v>20</v>
      </c>
      <c r="E66" s="78" t="s">
        <v>26</v>
      </c>
      <c r="F66" s="43"/>
      <c r="G66" s="43">
        <v>59.9</v>
      </c>
      <c r="H66" s="78" t="s">
        <v>108</v>
      </c>
      <c r="I66" s="78" t="s">
        <v>68</v>
      </c>
      <c r="J66" s="73" t="s">
        <v>18</v>
      </c>
      <c r="K66" s="78"/>
      <c r="L66" s="73" t="s">
        <v>73</v>
      </c>
    </row>
    <row r="67" spans="1:12" customFormat="1" ht="21" customHeight="1" x14ac:dyDescent="0.3">
      <c r="A67" s="70">
        <v>46283</v>
      </c>
      <c r="B67" s="70">
        <v>46283</v>
      </c>
      <c r="C67" s="71">
        <f>DATE(YEAR(BaseLanc[[#This Row],[DT Venc]]),MONTH(BaseLanc[[#This Row],[DT Venc]]),1)</f>
        <v>46266</v>
      </c>
      <c r="D67" s="72" t="s">
        <v>20</v>
      </c>
      <c r="E67" s="78" t="s">
        <v>26</v>
      </c>
      <c r="F67" s="43"/>
      <c r="G67" s="43">
        <v>79.900000000000006</v>
      </c>
      <c r="H67" s="78" t="s">
        <v>108</v>
      </c>
      <c r="I67" s="78" t="s">
        <v>70</v>
      </c>
      <c r="J67" s="73" t="s">
        <v>18</v>
      </c>
      <c r="K67" s="78"/>
      <c r="L67" s="73" t="s">
        <v>73</v>
      </c>
    </row>
    <row r="68" spans="1:12" customFormat="1" ht="21" customHeight="1" x14ac:dyDescent="0.3">
      <c r="A68" s="70">
        <v>46284</v>
      </c>
      <c r="B68" s="70">
        <v>46284</v>
      </c>
      <c r="C68" s="71">
        <f>DATE(YEAR(BaseLanc[[#This Row],[DT Venc]]),MONTH(BaseLanc[[#This Row],[DT Venc]]),1)</f>
        <v>46266</v>
      </c>
      <c r="D68" s="72" t="s">
        <v>20</v>
      </c>
      <c r="E68" s="78" t="s">
        <v>95</v>
      </c>
      <c r="F68" s="43"/>
      <c r="G68" s="43">
        <v>87.9</v>
      </c>
      <c r="H68" s="78" t="s">
        <v>109</v>
      </c>
      <c r="I68" s="78" t="s">
        <v>77</v>
      </c>
      <c r="J68" s="73" t="s">
        <v>18</v>
      </c>
      <c r="K68" s="78"/>
      <c r="L68" s="73" t="s">
        <v>73</v>
      </c>
    </row>
    <row r="69" spans="1:12" customFormat="1" ht="21" customHeight="1" x14ac:dyDescent="0.3">
      <c r="A69" s="70">
        <v>46285</v>
      </c>
      <c r="B69" s="70">
        <v>46285</v>
      </c>
      <c r="C69" s="71">
        <f>DATE(YEAR(BaseLanc[[#This Row],[DT Venc]]),MONTH(BaseLanc[[#This Row],[DT Venc]]),1)</f>
        <v>46266</v>
      </c>
      <c r="D69" s="72" t="s">
        <v>20</v>
      </c>
      <c r="E69" s="78" t="s">
        <v>24</v>
      </c>
      <c r="F69" s="43"/>
      <c r="G69" s="43">
        <v>129.9</v>
      </c>
      <c r="H69" s="78" t="s">
        <v>110</v>
      </c>
      <c r="I69" s="78" t="s">
        <v>77</v>
      </c>
      <c r="J69" s="73" t="s">
        <v>18</v>
      </c>
      <c r="K69" s="78"/>
      <c r="L69" s="73" t="s">
        <v>73</v>
      </c>
    </row>
    <row r="70" spans="1:12" customFormat="1" ht="21" customHeight="1" x14ac:dyDescent="0.3">
      <c r="A70" s="70">
        <v>46286</v>
      </c>
      <c r="B70" s="70">
        <v>46286</v>
      </c>
      <c r="C70" s="71">
        <f>DATE(YEAR(BaseLanc[[#This Row],[DT Venc]]),MONTH(BaseLanc[[#This Row],[DT Venc]]),1)</f>
        <v>46266</v>
      </c>
      <c r="D70" s="72" t="s">
        <v>20</v>
      </c>
      <c r="E70" s="78" t="s">
        <v>93</v>
      </c>
      <c r="F70" s="43"/>
      <c r="G70" s="43">
        <v>240</v>
      </c>
      <c r="H70" s="78" t="s">
        <v>111</v>
      </c>
      <c r="I70" s="78" t="s">
        <v>77</v>
      </c>
      <c r="J70" s="73" t="s">
        <v>18</v>
      </c>
      <c r="K70" s="78"/>
      <c r="L70" s="73" t="s">
        <v>78</v>
      </c>
    </row>
    <row r="71" spans="1:12" customFormat="1" ht="21" customHeight="1" x14ac:dyDescent="0.3">
      <c r="A71" s="70">
        <v>46287</v>
      </c>
      <c r="B71" s="70">
        <v>46287</v>
      </c>
      <c r="C71" s="71">
        <f>DATE(YEAR(BaseLanc[[#This Row],[DT Venc]]),MONTH(BaseLanc[[#This Row],[DT Venc]]),1)</f>
        <v>46266</v>
      </c>
      <c r="D71" s="72" t="s">
        <v>20</v>
      </c>
      <c r="E71" s="78" t="s">
        <v>91</v>
      </c>
      <c r="F71" s="43"/>
      <c r="G71" s="43">
        <v>284</v>
      </c>
      <c r="H71" s="78" t="s">
        <v>92</v>
      </c>
      <c r="I71" s="78" t="s">
        <v>68</v>
      </c>
      <c r="J71" s="73" t="s">
        <v>18</v>
      </c>
      <c r="K71" s="78"/>
      <c r="L71" s="73" t="s">
        <v>73</v>
      </c>
    </row>
    <row r="72" spans="1:12" customFormat="1" ht="21" customHeight="1" x14ac:dyDescent="0.3">
      <c r="A72" s="70">
        <v>46289</v>
      </c>
      <c r="B72" s="70">
        <v>46289</v>
      </c>
      <c r="C72" s="71">
        <f>DATE(YEAR(BaseLanc[[#This Row],[DT Venc]]),MONTH(BaseLanc[[#This Row],[DT Venc]]),1)</f>
        <v>46266</v>
      </c>
      <c r="D72" s="72" t="s">
        <v>20</v>
      </c>
      <c r="E72" s="78" t="s">
        <v>81</v>
      </c>
      <c r="F72" s="43"/>
      <c r="G72" s="43">
        <v>655.85</v>
      </c>
      <c r="H72" s="78" t="s">
        <v>82</v>
      </c>
      <c r="I72" s="78" t="s">
        <v>77</v>
      </c>
      <c r="J72" s="73" t="s">
        <v>18</v>
      </c>
      <c r="K72" s="78"/>
      <c r="L72" s="73" t="s">
        <v>73</v>
      </c>
    </row>
    <row r="73" spans="1:12" customFormat="1" ht="21" customHeight="1" x14ac:dyDescent="0.3">
      <c r="A73" s="70">
        <v>46290</v>
      </c>
      <c r="B73" s="70">
        <v>46290</v>
      </c>
      <c r="C73" s="71">
        <f>DATE(YEAR(BaseLanc[[#This Row],[DT Venc]]),MONTH(BaseLanc[[#This Row],[DT Venc]]),1)</f>
        <v>46266</v>
      </c>
      <c r="D73" s="72" t="s">
        <v>20</v>
      </c>
      <c r="E73" s="78" t="s">
        <v>22</v>
      </c>
      <c r="F73" s="74"/>
      <c r="G73" s="43">
        <v>3402.15</v>
      </c>
      <c r="H73" s="78" t="s">
        <v>112</v>
      </c>
      <c r="I73" s="78" t="s">
        <v>77</v>
      </c>
      <c r="J73" s="73" t="s">
        <v>18</v>
      </c>
      <c r="K73" s="78"/>
      <c r="L73" s="73" t="s">
        <v>69</v>
      </c>
    </row>
    <row r="74" spans="1:12" customFormat="1" ht="21" customHeight="1" x14ac:dyDescent="0.3">
      <c r="A74" s="70">
        <v>46291</v>
      </c>
      <c r="B74" s="70">
        <v>46291</v>
      </c>
      <c r="C74" s="71">
        <f>DATE(YEAR(BaseLanc[[#This Row],[DT Venc]]),MONTH(BaseLanc[[#This Row],[DT Venc]]),1)</f>
        <v>46266</v>
      </c>
      <c r="D74" s="72" t="s">
        <v>20</v>
      </c>
      <c r="E74" s="78" t="s">
        <v>104</v>
      </c>
      <c r="F74" s="74"/>
      <c r="G74" s="43">
        <v>175.5</v>
      </c>
      <c r="H74" s="78" t="s">
        <v>113</v>
      </c>
      <c r="I74" s="78" t="s">
        <v>77</v>
      </c>
      <c r="J74" s="73" t="s">
        <v>18</v>
      </c>
      <c r="K74" s="78"/>
      <c r="L74" s="73" t="s">
        <v>78</v>
      </c>
    </row>
    <row r="75" spans="1:12" customFormat="1" ht="21" customHeight="1" x14ac:dyDescent="0.3">
      <c r="A75" s="70">
        <v>46300</v>
      </c>
      <c r="B75" s="70">
        <v>46300</v>
      </c>
      <c r="C75" s="71">
        <f>DATE(YEAR(BaseLanc[[#This Row],[DT Venc]]),MONTH(BaseLanc[[#This Row],[DT Venc]]),1)</f>
        <v>46296</v>
      </c>
      <c r="D75" s="72" t="s">
        <v>13</v>
      </c>
      <c r="E75" s="78" t="s">
        <v>14</v>
      </c>
      <c r="F75" s="74">
        <v>5600</v>
      </c>
      <c r="G75" s="43"/>
      <c r="H75" s="78" t="s">
        <v>67</v>
      </c>
      <c r="I75" s="78" t="s">
        <v>68</v>
      </c>
      <c r="J75" s="73" t="s">
        <v>18</v>
      </c>
      <c r="K75" s="78"/>
      <c r="L75" s="73" t="s">
        <v>69</v>
      </c>
    </row>
    <row r="76" spans="1:12" customFormat="1" ht="21" customHeight="1" x14ac:dyDescent="0.3">
      <c r="A76" s="70">
        <v>46300</v>
      </c>
      <c r="B76" s="70">
        <v>46300</v>
      </c>
      <c r="C76" s="71">
        <f>DATE(YEAR(BaseLanc[[#This Row],[DT Venc]]),MONTH(BaseLanc[[#This Row],[DT Venc]]),1)</f>
        <v>46296</v>
      </c>
      <c r="D76" s="72" t="s">
        <v>13</v>
      </c>
      <c r="E76" s="78" t="s">
        <v>14</v>
      </c>
      <c r="F76" s="74">
        <v>9800</v>
      </c>
      <c r="G76" s="43"/>
      <c r="H76" s="78" t="s">
        <v>67</v>
      </c>
      <c r="I76" s="78" t="s">
        <v>70</v>
      </c>
      <c r="J76" s="73" t="s">
        <v>18</v>
      </c>
      <c r="K76" s="78"/>
      <c r="L76" s="73" t="s">
        <v>69</v>
      </c>
    </row>
    <row r="77" spans="1:12" customFormat="1" ht="21" customHeight="1" x14ac:dyDescent="0.3">
      <c r="A77" s="70">
        <v>46313</v>
      </c>
      <c r="B77" s="70">
        <v>46315</v>
      </c>
      <c r="C77" s="71">
        <f>DATE(YEAR(BaseLanc[[#This Row],[DT Venc]]),MONTH(BaseLanc[[#This Row],[DT Venc]]),1)</f>
        <v>46296</v>
      </c>
      <c r="D77" s="72" t="s">
        <v>13</v>
      </c>
      <c r="E77" s="78" t="s">
        <v>16</v>
      </c>
      <c r="F77" s="74">
        <v>1800</v>
      </c>
      <c r="G77" s="43"/>
      <c r="H77" s="78" t="s">
        <v>74</v>
      </c>
      <c r="I77" s="78" t="s">
        <v>70</v>
      </c>
      <c r="J77" s="73" t="s">
        <v>15</v>
      </c>
      <c r="K77" s="78"/>
      <c r="L77" s="73" t="s">
        <v>73</v>
      </c>
    </row>
    <row r="78" spans="1:12" customFormat="1" ht="21" customHeight="1" x14ac:dyDescent="0.3">
      <c r="A78" s="70">
        <v>46323</v>
      </c>
      <c r="B78" s="70">
        <v>46323</v>
      </c>
      <c r="C78" s="71">
        <f>DATE(YEAR(BaseLanc[[#This Row],[DT Venc]]),MONTH(BaseLanc[[#This Row],[DT Venc]]),1)</f>
        <v>46296</v>
      </c>
      <c r="D78" s="72" t="s">
        <v>13</v>
      </c>
      <c r="E78" s="78" t="s">
        <v>75</v>
      </c>
      <c r="F78" s="74">
        <v>325.10000000000002</v>
      </c>
      <c r="G78" s="43"/>
      <c r="H78" s="78" t="s">
        <v>76</v>
      </c>
      <c r="I78" s="78" t="s">
        <v>77</v>
      </c>
      <c r="J78" s="73" t="s">
        <v>15</v>
      </c>
      <c r="K78" s="78"/>
      <c r="L78" s="73" t="s">
        <v>78</v>
      </c>
    </row>
    <row r="79" spans="1:12" customFormat="1" ht="21" customHeight="1" x14ac:dyDescent="0.3">
      <c r="A79" s="70">
        <v>46301</v>
      </c>
      <c r="B79" s="70">
        <v>46301</v>
      </c>
      <c r="C79" s="71">
        <f>DATE(YEAR(BaseLanc[[#This Row],[DT Venc]]),MONTH(BaseLanc[[#This Row],[DT Venc]]),1)</f>
        <v>46296</v>
      </c>
      <c r="D79" s="72" t="s">
        <v>19</v>
      </c>
      <c r="E79" s="78" t="s">
        <v>28</v>
      </c>
      <c r="F79" s="74"/>
      <c r="G79" s="43">
        <v>1000</v>
      </c>
      <c r="H79" s="78" t="s">
        <v>79</v>
      </c>
      <c r="I79" s="78" t="s">
        <v>70</v>
      </c>
      <c r="J79" s="73" t="s">
        <v>15</v>
      </c>
      <c r="K79" s="78"/>
      <c r="L79" s="73" t="s">
        <v>73</v>
      </c>
    </row>
    <row r="80" spans="1:12" customFormat="1" ht="21" customHeight="1" x14ac:dyDescent="0.3">
      <c r="A80" s="70">
        <v>46315</v>
      </c>
      <c r="B80" s="70">
        <v>46315</v>
      </c>
      <c r="C80" s="71">
        <f>DATE(YEAR(BaseLanc[[#This Row],[DT Venc]]),MONTH(BaseLanc[[#This Row],[DT Venc]]),1)</f>
        <v>46296</v>
      </c>
      <c r="D80" s="72" t="s">
        <v>19</v>
      </c>
      <c r="E80" s="78" t="s">
        <v>28</v>
      </c>
      <c r="F80" s="74"/>
      <c r="G80" s="43">
        <v>500</v>
      </c>
      <c r="H80" s="78" t="s">
        <v>80</v>
      </c>
      <c r="I80" s="78" t="s">
        <v>77</v>
      </c>
      <c r="J80" s="73" t="s">
        <v>15</v>
      </c>
      <c r="K80" s="78"/>
      <c r="L80" s="73" t="s">
        <v>73</v>
      </c>
    </row>
    <row r="81" spans="1:12" customFormat="1" ht="21" customHeight="1" x14ac:dyDescent="0.3">
      <c r="A81" s="70">
        <v>46299</v>
      </c>
      <c r="B81" s="70">
        <v>46299</v>
      </c>
      <c r="C81" s="71">
        <f>DATE(YEAR(BaseLanc[[#This Row],[DT Venc]]),MONTH(BaseLanc[[#This Row],[DT Venc]]),1)</f>
        <v>46296</v>
      </c>
      <c r="D81" s="72" t="s">
        <v>20</v>
      </c>
      <c r="E81" s="78" t="s">
        <v>81</v>
      </c>
      <c r="F81" s="74"/>
      <c r="G81" s="43">
        <v>634.75</v>
      </c>
      <c r="H81" s="78" t="s">
        <v>82</v>
      </c>
      <c r="I81" s="78" t="s">
        <v>77</v>
      </c>
      <c r="J81" s="73" t="s">
        <v>18</v>
      </c>
      <c r="K81" s="78" t="s">
        <v>83</v>
      </c>
      <c r="L81" s="73" t="s">
        <v>73</v>
      </c>
    </row>
    <row r="82" spans="1:12" customFormat="1" ht="21" customHeight="1" x14ac:dyDescent="0.3">
      <c r="A82" s="70">
        <v>46300</v>
      </c>
      <c r="B82" s="70">
        <v>46300</v>
      </c>
      <c r="C82" s="71">
        <f>DATE(YEAR(BaseLanc[[#This Row],[DT Venc]]),MONTH(BaseLanc[[#This Row],[DT Venc]]),1)</f>
        <v>46296</v>
      </c>
      <c r="D82" s="72" t="s">
        <v>20</v>
      </c>
      <c r="E82" s="78" t="s">
        <v>21</v>
      </c>
      <c r="F82" s="74"/>
      <c r="G82" s="43">
        <v>21.9</v>
      </c>
      <c r="H82" s="78" t="s">
        <v>90</v>
      </c>
      <c r="I82" s="78" t="s">
        <v>77</v>
      </c>
      <c r="J82" s="73" t="s">
        <v>18</v>
      </c>
      <c r="K82" s="78"/>
      <c r="L82" s="73" t="s">
        <v>78</v>
      </c>
    </row>
    <row r="83" spans="1:12" customFormat="1" ht="21" customHeight="1" x14ac:dyDescent="0.3">
      <c r="A83" s="70">
        <v>46300</v>
      </c>
      <c r="B83" s="70">
        <v>46300</v>
      </c>
      <c r="C83" s="71">
        <f>DATE(YEAR(BaseLanc[[#This Row],[DT Venc]]),MONTH(BaseLanc[[#This Row],[DT Venc]]),1)</f>
        <v>46296</v>
      </c>
      <c r="D83" s="72" t="s">
        <v>20</v>
      </c>
      <c r="E83" s="78" t="s">
        <v>85</v>
      </c>
      <c r="F83" s="74"/>
      <c r="G83" s="43">
        <v>1150</v>
      </c>
      <c r="H83" s="78" t="s">
        <v>86</v>
      </c>
      <c r="I83" s="78" t="s">
        <v>70</v>
      </c>
      <c r="J83" s="73" t="s">
        <v>18</v>
      </c>
      <c r="K83" s="78" t="s">
        <v>87</v>
      </c>
      <c r="L83" s="73" t="s">
        <v>69</v>
      </c>
    </row>
    <row r="84" spans="1:12" customFormat="1" ht="21" customHeight="1" x14ac:dyDescent="0.3">
      <c r="A84" s="70">
        <v>46300</v>
      </c>
      <c r="B84" s="70">
        <v>46300</v>
      </c>
      <c r="C84" s="71">
        <f>DATE(YEAR(BaseLanc[[#This Row],[DT Venc]]),MONTH(BaseLanc[[#This Row],[DT Venc]]),1)</f>
        <v>46296</v>
      </c>
      <c r="D84" s="72" t="s">
        <v>20</v>
      </c>
      <c r="E84" s="78" t="s">
        <v>21</v>
      </c>
      <c r="F84" s="74"/>
      <c r="G84" s="43">
        <v>55.9</v>
      </c>
      <c r="H84" s="78" t="s">
        <v>84</v>
      </c>
      <c r="I84" s="78" t="s">
        <v>77</v>
      </c>
      <c r="J84" s="73" t="s">
        <v>18</v>
      </c>
      <c r="K84" s="78"/>
      <c r="L84" s="73" t="s">
        <v>78</v>
      </c>
    </row>
    <row r="85" spans="1:12" customFormat="1" ht="21" customHeight="1" x14ac:dyDescent="0.3">
      <c r="A85" s="70">
        <v>46300</v>
      </c>
      <c r="B85" s="70">
        <v>46300</v>
      </c>
      <c r="C85" s="71">
        <f>DATE(YEAR(BaseLanc[[#This Row],[DT Venc]]),MONTH(BaseLanc[[#This Row],[DT Venc]]),1)</f>
        <v>46296</v>
      </c>
      <c r="D85" s="72" t="s">
        <v>20</v>
      </c>
      <c r="E85" s="78" t="s">
        <v>85</v>
      </c>
      <c r="F85" s="74"/>
      <c r="G85" s="43">
        <v>780</v>
      </c>
      <c r="H85" s="78" t="s">
        <v>88</v>
      </c>
      <c r="I85" s="78" t="s">
        <v>70</v>
      </c>
      <c r="J85" s="73" t="s">
        <v>18</v>
      </c>
      <c r="K85" s="78" t="s">
        <v>89</v>
      </c>
      <c r="L85" s="73" t="s">
        <v>69</v>
      </c>
    </row>
    <row r="86" spans="1:12" customFormat="1" ht="21" customHeight="1" x14ac:dyDescent="0.3">
      <c r="A86" s="70">
        <v>46302</v>
      </c>
      <c r="B86" s="70">
        <v>46302</v>
      </c>
      <c r="C86" s="71">
        <f>DATE(YEAR(BaseLanc[[#This Row],[DT Venc]]),MONTH(BaseLanc[[#This Row],[DT Venc]]),1)</f>
        <v>46296</v>
      </c>
      <c r="D86" s="72" t="s">
        <v>20</v>
      </c>
      <c r="E86" s="78" t="s">
        <v>91</v>
      </c>
      <c r="F86" s="74"/>
      <c r="G86" s="43">
        <v>318</v>
      </c>
      <c r="H86" s="78" t="s">
        <v>92</v>
      </c>
      <c r="I86" s="78" t="s">
        <v>70</v>
      </c>
      <c r="J86" s="73" t="s">
        <v>15</v>
      </c>
      <c r="K86" s="78"/>
      <c r="L86" s="73" t="s">
        <v>73</v>
      </c>
    </row>
    <row r="87" spans="1:12" customFormat="1" ht="21" customHeight="1" x14ac:dyDescent="0.3">
      <c r="A87" s="70">
        <v>46303</v>
      </c>
      <c r="B87" s="70">
        <v>46303</v>
      </c>
      <c r="C87" s="71">
        <f>DATE(YEAR(BaseLanc[[#This Row],[DT Venc]]),MONTH(BaseLanc[[#This Row],[DT Venc]]),1)</f>
        <v>46296</v>
      </c>
      <c r="D87" s="72" t="s">
        <v>20</v>
      </c>
      <c r="E87" s="78" t="s">
        <v>95</v>
      </c>
      <c r="F87" s="74"/>
      <c r="G87" s="43">
        <v>689.9</v>
      </c>
      <c r="H87" s="78" t="s">
        <v>96</v>
      </c>
      <c r="I87" s="78" t="s">
        <v>77</v>
      </c>
      <c r="J87" s="73" t="s">
        <v>15</v>
      </c>
      <c r="K87" s="78"/>
      <c r="L87" s="73" t="s">
        <v>69</v>
      </c>
    </row>
    <row r="88" spans="1:12" customFormat="1" ht="21" customHeight="1" x14ac:dyDescent="0.3">
      <c r="A88" s="70">
        <v>46303</v>
      </c>
      <c r="B88" s="70">
        <v>46303</v>
      </c>
      <c r="C88" s="71">
        <f>DATE(YEAR(BaseLanc[[#This Row],[DT Venc]]),MONTH(BaseLanc[[#This Row],[DT Venc]]),1)</f>
        <v>46296</v>
      </c>
      <c r="D88" s="72" t="s">
        <v>20</v>
      </c>
      <c r="E88" s="78" t="s">
        <v>93</v>
      </c>
      <c r="F88" s="74"/>
      <c r="G88" s="43">
        <v>185</v>
      </c>
      <c r="H88" s="78" t="s">
        <v>94</v>
      </c>
      <c r="I88" s="78" t="s">
        <v>77</v>
      </c>
      <c r="J88" s="73" t="s">
        <v>15</v>
      </c>
      <c r="K88" s="78"/>
      <c r="L88" s="73" t="s">
        <v>78</v>
      </c>
    </row>
    <row r="89" spans="1:12" customFormat="1" ht="21" customHeight="1" x14ac:dyDescent="0.3">
      <c r="A89" s="70">
        <v>46304</v>
      </c>
      <c r="B89" s="70">
        <v>46304</v>
      </c>
      <c r="C89" s="71">
        <f>DATE(YEAR(BaseLanc[[#This Row],[DT Venc]]),MONTH(BaseLanc[[#This Row],[DT Venc]]),1)</f>
        <v>46296</v>
      </c>
      <c r="D89" s="72" t="s">
        <v>20</v>
      </c>
      <c r="E89" s="78" t="s">
        <v>21</v>
      </c>
      <c r="F89" s="74"/>
      <c r="G89" s="43">
        <v>14.9</v>
      </c>
      <c r="H89" s="78" t="s">
        <v>97</v>
      </c>
      <c r="I89" s="78" t="s">
        <v>70</v>
      </c>
      <c r="J89" s="73" t="s">
        <v>15</v>
      </c>
      <c r="K89" s="78"/>
      <c r="L89" s="73" t="s">
        <v>78</v>
      </c>
    </row>
    <row r="90" spans="1:12" customFormat="1" ht="21" customHeight="1" x14ac:dyDescent="0.3">
      <c r="A90" s="70">
        <v>46305</v>
      </c>
      <c r="B90" s="70">
        <v>46305</v>
      </c>
      <c r="C90" s="71">
        <f>DATE(YEAR(BaseLanc[[#This Row],[DT Venc]]),MONTH(BaseLanc[[#This Row],[DT Venc]]),1)</f>
        <v>46296</v>
      </c>
      <c r="D90" s="72" t="s">
        <v>20</v>
      </c>
      <c r="E90" s="78" t="s">
        <v>27</v>
      </c>
      <c r="F90" s="74"/>
      <c r="G90" s="43">
        <v>785</v>
      </c>
      <c r="H90" s="78" t="s">
        <v>102</v>
      </c>
      <c r="I90" s="78" t="s">
        <v>77</v>
      </c>
      <c r="J90" s="73" t="s">
        <v>15</v>
      </c>
      <c r="K90" s="78"/>
      <c r="L90" s="73" t="s">
        <v>69</v>
      </c>
    </row>
    <row r="91" spans="1:12" customFormat="1" ht="21" customHeight="1" x14ac:dyDescent="0.3">
      <c r="A91" s="70">
        <v>46305</v>
      </c>
      <c r="B91" s="70">
        <v>46305</v>
      </c>
      <c r="C91" s="71">
        <f>DATE(YEAR(BaseLanc[[#This Row],[DT Venc]]),MONTH(BaseLanc[[#This Row],[DT Venc]]),1)</f>
        <v>46296</v>
      </c>
      <c r="D91" s="72" t="s">
        <v>20</v>
      </c>
      <c r="E91" s="78" t="s">
        <v>100</v>
      </c>
      <c r="F91" s="43"/>
      <c r="G91" s="43">
        <v>3200</v>
      </c>
      <c r="H91" s="78" t="s">
        <v>101</v>
      </c>
      <c r="I91" s="78" t="s">
        <v>77</v>
      </c>
      <c r="J91" s="73" t="s">
        <v>15</v>
      </c>
      <c r="K91" s="78"/>
      <c r="L91" s="73" t="s">
        <v>69</v>
      </c>
    </row>
    <row r="92" spans="1:12" customFormat="1" ht="21" customHeight="1" x14ac:dyDescent="0.3">
      <c r="A92" s="70">
        <v>46305</v>
      </c>
      <c r="B92" s="70">
        <v>46305</v>
      </c>
      <c r="C92" s="71">
        <f>DATE(YEAR(BaseLanc[[#This Row],[DT Venc]]),MONTH(BaseLanc[[#This Row],[DT Venc]]),1)</f>
        <v>46296</v>
      </c>
      <c r="D92" s="72" t="s">
        <v>20</v>
      </c>
      <c r="E92" s="78" t="s">
        <v>98</v>
      </c>
      <c r="F92" s="43"/>
      <c r="G92" s="43">
        <v>380</v>
      </c>
      <c r="H92" s="78" t="s">
        <v>99</v>
      </c>
      <c r="I92" s="78" t="s">
        <v>68</v>
      </c>
      <c r="J92" s="73" t="s">
        <v>15</v>
      </c>
      <c r="K92" s="78"/>
      <c r="L92" s="73" t="s">
        <v>73</v>
      </c>
    </row>
    <row r="93" spans="1:12" customFormat="1" ht="21" customHeight="1" x14ac:dyDescent="0.3">
      <c r="A93" s="70">
        <v>46307</v>
      </c>
      <c r="B93" s="70">
        <v>46307</v>
      </c>
      <c r="C93" s="71">
        <f>DATE(YEAR(BaseLanc[[#This Row],[DT Venc]]),MONTH(BaseLanc[[#This Row],[DT Venc]]),1)</f>
        <v>46296</v>
      </c>
      <c r="D93" s="72" t="s">
        <v>20</v>
      </c>
      <c r="E93" s="78" t="s">
        <v>23</v>
      </c>
      <c r="F93" s="43"/>
      <c r="G93" s="43">
        <v>101.3</v>
      </c>
      <c r="H93" s="78" t="s">
        <v>103</v>
      </c>
      <c r="I93" s="78" t="s">
        <v>77</v>
      </c>
      <c r="J93" s="73" t="s">
        <v>15</v>
      </c>
      <c r="K93" s="78"/>
      <c r="L93" s="73" t="s">
        <v>69</v>
      </c>
    </row>
    <row r="94" spans="1:12" customFormat="1" ht="21" customHeight="1" x14ac:dyDescent="0.3">
      <c r="A94" s="70">
        <v>46308</v>
      </c>
      <c r="B94" s="70">
        <v>46308</v>
      </c>
      <c r="C94" s="71">
        <f>DATE(YEAR(BaseLanc[[#This Row],[DT Venc]]),MONTH(BaseLanc[[#This Row],[DT Venc]]),1)</f>
        <v>46296</v>
      </c>
      <c r="D94" s="72" t="s">
        <v>20</v>
      </c>
      <c r="E94" s="78" t="s">
        <v>81</v>
      </c>
      <c r="F94" s="43"/>
      <c r="G94" s="43">
        <v>495.2</v>
      </c>
      <c r="H94" s="78" t="s">
        <v>82</v>
      </c>
      <c r="I94" s="78" t="s">
        <v>77</v>
      </c>
      <c r="J94" s="73" t="s">
        <v>15</v>
      </c>
      <c r="K94" s="78"/>
      <c r="L94" s="73" t="s">
        <v>73</v>
      </c>
    </row>
    <row r="95" spans="1:12" customFormat="1" ht="21" customHeight="1" x14ac:dyDescent="0.3">
      <c r="A95" s="70">
        <v>46309</v>
      </c>
      <c r="B95" s="70">
        <v>46309</v>
      </c>
      <c r="C95" s="71">
        <f>DATE(YEAR(BaseLanc[[#This Row],[DT Venc]]),MONTH(BaseLanc[[#This Row],[DT Venc]]),1)</f>
        <v>46296</v>
      </c>
      <c r="D95" s="72" t="s">
        <v>20</v>
      </c>
      <c r="E95" s="78" t="s">
        <v>104</v>
      </c>
      <c r="F95" s="43"/>
      <c r="G95" s="43">
        <v>98</v>
      </c>
      <c r="H95" s="78" t="s">
        <v>105</v>
      </c>
      <c r="I95" s="78" t="s">
        <v>77</v>
      </c>
      <c r="J95" s="73" t="s">
        <v>15</v>
      </c>
      <c r="K95" s="78"/>
      <c r="L95" s="73" t="s">
        <v>78</v>
      </c>
    </row>
    <row r="96" spans="1:12" customFormat="1" ht="21" customHeight="1" x14ac:dyDescent="0.3">
      <c r="A96" s="70">
        <v>46310</v>
      </c>
      <c r="B96" s="70">
        <v>46310</v>
      </c>
      <c r="C96" s="71">
        <f>DATE(YEAR(BaseLanc[[#This Row],[DT Venc]]),MONTH(BaseLanc[[#This Row],[DT Venc]]),1)</f>
        <v>46296</v>
      </c>
      <c r="D96" s="72" t="s">
        <v>20</v>
      </c>
      <c r="E96" s="78" t="s">
        <v>25</v>
      </c>
      <c r="F96" s="43"/>
      <c r="G96" s="43">
        <v>249.9</v>
      </c>
      <c r="H96" s="78" t="s">
        <v>106</v>
      </c>
      <c r="I96" s="78" t="s">
        <v>77</v>
      </c>
      <c r="J96" s="73" t="s">
        <v>15</v>
      </c>
      <c r="K96" s="78"/>
      <c r="L96" s="73" t="s">
        <v>69</v>
      </c>
    </row>
    <row r="97" spans="1:12" customFormat="1" ht="21" customHeight="1" x14ac:dyDescent="0.3">
      <c r="A97" s="70">
        <v>46311</v>
      </c>
      <c r="B97" s="70">
        <v>46311</v>
      </c>
      <c r="C97" s="71">
        <f>DATE(YEAR(BaseLanc[[#This Row],[DT Venc]]),MONTH(BaseLanc[[#This Row],[DT Venc]]),1)</f>
        <v>46296</v>
      </c>
      <c r="D97" s="72" t="s">
        <v>20</v>
      </c>
      <c r="E97" s="78" t="s">
        <v>91</v>
      </c>
      <c r="F97" s="74"/>
      <c r="G97" s="43">
        <v>86.4</v>
      </c>
      <c r="H97" s="78" t="s">
        <v>107</v>
      </c>
      <c r="I97" s="78" t="s">
        <v>68</v>
      </c>
      <c r="J97" s="73" t="s">
        <v>15</v>
      </c>
      <c r="K97" s="78"/>
      <c r="L97" s="73" t="s">
        <v>78</v>
      </c>
    </row>
    <row r="98" spans="1:12" customFormat="1" ht="21" customHeight="1" x14ac:dyDescent="0.3">
      <c r="A98" s="70">
        <v>46313</v>
      </c>
      <c r="B98" s="70">
        <v>46313</v>
      </c>
      <c r="C98" s="71">
        <f>DATE(YEAR(BaseLanc[[#This Row],[DT Venc]]),MONTH(BaseLanc[[#This Row],[DT Venc]]),1)</f>
        <v>46296</v>
      </c>
      <c r="D98" s="72" t="s">
        <v>20</v>
      </c>
      <c r="E98" s="78" t="s">
        <v>26</v>
      </c>
      <c r="F98" s="74"/>
      <c r="G98" s="43">
        <v>59.9</v>
      </c>
      <c r="H98" s="78" t="s">
        <v>108</v>
      </c>
      <c r="I98" s="78" t="s">
        <v>68</v>
      </c>
      <c r="J98" s="73" t="s">
        <v>15</v>
      </c>
      <c r="K98" s="78"/>
      <c r="L98" s="73" t="s">
        <v>73</v>
      </c>
    </row>
    <row r="99" spans="1:12" customFormat="1" ht="21" customHeight="1" x14ac:dyDescent="0.3">
      <c r="A99" s="70">
        <v>46313</v>
      </c>
      <c r="B99" s="70">
        <v>46313</v>
      </c>
      <c r="C99" s="71">
        <f>DATE(YEAR(BaseLanc[[#This Row],[DT Venc]]),MONTH(BaseLanc[[#This Row],[DT Venc]]),1)</f>
        <v>46296</v>
      </c>
      <c r="D99" s="72" t="s">
        <v>20</v>
      </c>
      <c r="E99" s="78" t="s">
        <v>26</v>
      </c>
      <c r="F99" s="74"/>
      <c r="G99" s="43">
        <v>79.900000000000006</v>
      </c>
      <c r="H99" s="78" t="s">
        <v>108</v>
      </c>
      <c r="I99" s="78" t="s">
        <v>70</v>
      </c>
      <c r="J99" s="73" t="s">
        <v>15</v>
      </c>
      <c r="K99" s="78"/>
      <c r="L99" s="73" t="s">
        <v>73</v>
      </c>
    </row>
    <row r="100" spans="1:12" customFormat="1" ht="21" customHeight="1" x14ac:dyDescent="0.3">
      <c r="A100" s="70">
        <v>46314</v>
      </c>
      <c r="B100" s="70">
        <v>46314</v>
      </c>
      <c r="C100" s="71">
        <f>DATE(YEAR(BaseLanc[[#This Row],[DT Venc]]),MONTH(BaseLanc[[#This Row],[DT Venc]]),1)</f>
        <v>46296</v>
      </c>
      <c r="D100" s="72" t="s">
        <v>20</v>
      </c>
      <c r="E100" s="78" t="s">
        <v>95</v>
      </c>
      <c r="F100" s="74"/>
      <c r="G100" s="43">
        <v>164.2</v>
      </c>
      <c r="H100" s="78" t="s">
        <v>109</v>
      </c>
      <c r="I100" s="78" t="s">
        <v>77</v>
      </c>
      <c r="J100" s="73" t="s">
        <v>15</v>
      </c>
      <c r="K100" s="78"/>
      <c r="L100" s="73" t="s">
        <v>73</v>
      </c>
    </row>
    <row r="101" spans="1:12" customFormat="1" ht="21" customHeight="1" x14ac:dyDescent="0.3">
      <c r="A101" s="70">
        <v>46315</v>
      </c>
      <c r="B101" s="70">
        <v>46315</v>
      </c>
      <c r="C101" s="71">
        <f>DATE(YEAR(BaseLanc[[#This Row],[DT Venc]]),MONTH(BaseLanc[[#This Row],[DT Venc]]),1)</f>
        <v>46296</v>
      </c>
      <c r="D101" s="72" t="s">
        <v>20</v>
      </c>
      <c r="E101" s="78" t="s">
        <v>24</v>
      </c>
      <c r="F101" s="74"/>
      <c r="G101" s="43">
        <v>129.9</v>
      </c>
      <c r="H101" s="78" t="s">
        <v>110</v>
      </c>
      <c r="I101" s="78" t="s">
        <v>77</v>
      </c>
      <c r="J101" s="73" t="s">
        <v>15</v>
      </c>
      <c r="K101" s="78"/>
      <c r="L101" s="73" t="s">
        <v>73</v>
      </c>
    </row>
    <row r="102" spans="1:12" customFormat="1" ht="21" customHeight="1" x14ac:dyDescent="0.3">
      <c r="A102" s="70">
        <v>46316</v>
      </c>
      <c r="B102" s="70">
        <v>46316</v>
      </c>
      <c r="C102" s="71">
        <f>DATE(YEAR(BaseLanc[[#This Row],[DT Venc]]),MONTH(BaseLanc[[#This Row],[DT Venc]]),1)</f>
        <v>46296</v>
      </c>
      <c r="D102" s="72" t="s">
        <v>20</v>
      </c>
      <c r="E102" s="78" t="s">
        <v>93</v>
      </c>
      <c r="F102" s="74"/>
      <c r="G102" s="43">
        <v>240</v>
      </c>
      <c r="H102" s="78" t="s">
        <v>111</v>
      </c>
      <c r="I102" s="78" t="s">
        <v>77</v>
      </c>
      <c r="J102" s="73" t="s">
        <v>15</v>
      </c>
      <c r="K102" s="78"/>
      <c r="L102" s="73" t="s">
        <v>78</v>
      </c>
    </row>
    <row r="103" spans="1:12" customFormat="1" ht="21" customHeight="1" x14ac:dyDescent="0.3">
      <c r="A103" s="70">
        <v>46317</v>
      </c>
      <c r="B103" s="70">
        <v>46317</v>
      </c>
      <c r="C103" s="71">
        <f>DATE(YEAR(BaseLanc[[#This Row],[DT Venc]]),MONTH(BaseLanc[[#This Row],[DT Venc]]),1)</f>
        <v>46296</v>
      </c>
      <c r="D103" s="72" t="s">
        <v>20</v>
      </c>
      <c r="E103" s="78" t="s">
        <v>91</v>
      </c>
      <c r="F103" s="74"/>
      <c r="G103" s="43">
        <v>301</v>
      </c>
      <c r="H103" s="78" t="s">
        <v>92</v>
      </c>
      <c r="I103" s="78" t="s">
        <v>68</v>
      </c>
      <c r="J103" s="73" t="s">
        <v>15</v>
      </c>
      <c r="K103" s="78"/>
      <c r="L103" s="73" t="s">
        <v>73</v>
      </c>
    </row>
    <row r="104" spans="1:12" customFormat="1" ht="21" customHeight="1" x14ac:dyDescent="0.3">
      <c r="A104" s="70">
        <v>46319</v>
      </c>
      <c r="B104" s="70">
        <v>46319</v>
      </c>
      <c r="C104" s="71">
        <f>DATE(YEAR(BaseLanc[[#This Row],[DT Venc]]),MONTH(BaseLanc[[#This Row],[DT Venc]]),1)</f>
        <v>46296</v>
      </c>
      <c r="D104" s="72" t="s">
        <v>20</v>
      </c>
      <c r="E104" s="78" t="s">
        <v>81</v>
      </c>
      <c r="F104" s="74"/>
      <c r="G104" s="43">
        <v>689.4</v>
      </c>
      <c r="H104" s="78" t="s">
        <v>82</v>
      </c>
      <c r="I104" s="78" t="s">
        <v>77</v>
      </c>
      <c r="J104" s="73" t="s">
        <v>15</v>
      </c>
      <c r="K104" s="78"/>
      <c r="L104" s="73" t="s">
        <v>73</v>
      </c>
    </row>
    <row r="105" spans="1:12" customFormat="1" ht="21" customHeight="1" x14ac:dyDescent="0.3">
      <c r="A105" s="70">
        <v>46320</v>
      </c>
      <c r="B105" s="70">
        <v>46320</v>
      </c>
      <c r="C105" s="71">
        <f>DATE(YEAR(BaseLanc[[#This Row],[DT Venc]]),MONTH(BaseLanc[[#This Row],[DT Venc]]),1)</f>
        <v>46296</v>
      </c>
      <c r="D105" s="72" t="s">
        <v>20</v>
      </c>
      <c r="E105" s="78" t="s">
        <v>22</v>
      </c>
      <c r="F105" s="74"/>
      <c r="G105" s="43">
        <v>3261.8</v>
      </c>
      <c r="H105" s="78" t="s">
        <v>112</v>
      </c>
      <c r="I105" s="78" t="s">
        <v>77</v>
      </c>
      <c r="J105" s="73" t="s">
        <v>15</v>
      </c>
      <c r="K105" s="78"/>
      <c r="L105" s="73" t="s">
        <v>69</v>
      </c>
    </row>
    <row r="106" spans="1:12" customFormat="1" ht="21" customHeight="1" x14ac:dyDescent="0.3">
      <c r="A106" s="70">
        <v>46321</v>
      </c>
      <c r="B106" s="70">
        <v>46321</v>
      </c>
      <c r="C106" s="71">
        <f>DATE(YEAR(BaseLanc[[#This Row],[DT Venc]]),MONTH(BaseLanc[[#This Row],[DT Venc]]),1)</f>
        <v>46296</v>
      </c>
      <c r="D106" s="72" t="s">
        <v>20</v>
      </c>
      <c r="E106" s="78" t="s">
        <v>104</v>
      </c>
      <c r="F106" s="74"/>
      <c r="G106" s="43">
        <v>240</v>
      </c>
      <c r="H106" s="78" t="s">
        <v>113</v>
      </c>
      <c r="I106" s="78" t="s">
        <v>77</v>
      </c>
      <c r="J106" s="73" t="s">
        <v>15</v>
      </c>
      <c r="K106" s="78"/>
      <c r="L106" s="73" t="s">
        <v>78</v>
      </c>
    </row>
    <row r="107" spans="1:12" x14ac:dyDescent="0.25">
      <c r="A107" s="32"/>
      <c r="B107" s="32"/>
      <c r="C107" s="32"/>
      <c r="D107" s="32"/>
      <c r="F107" s="32"/>
      <c r="G107" s="32"/>
      <c r="L107" s="32"/>
    </row>
    <row r="108" spans="1:12" x14ac:dyDescent="0.25">
      <c r="A108" s="32"/>
      <c r="B108" s="32"/>
      <c r="C108" s="32"/>
      <c r="D108" s="32"/>
      <c r="F108" s="32"/>
      <c r="G108" s="32"/>
      <c r="L108" s="32"/>
    </row>
    <row r="109" spans="1:12" x14ac:dyDescent="0.25">
      <c r="A109" s="32"/>
      <c r="B109" s="32"/>
      <c r="C109" s="32"/>
      <c r="D109" s="32"/>
      <c r="F109" s="32"/>
      <c r="G109" s="32"/>
      <c r="L109" s="32"/>
    </row>
    <row r="110" spans="1:12" x14ac:dyDescent="0.25">
      <c r="A110" s="32"/>
      <c r="B110" s="32"/>
      <c r="C110" s="32"/>
      <c r="D110" s="32"/>
      <c r="F110" s="32"/>
      <c r="G110" s="32"/>
      <c r="L110" s="32"/>
    </row>
    <row r="111" spans="1:12" x14ac:dyDescent="0.25">
      <c r="A111" s="32"/>
      <c r="B111" s="32"/>
      <c r="C111" s="32"/>
      <c r="D111" s="32"/>
      <c r="F111" s="32"/>
      <c r="G111" s="32"/>
      <c r="L111" s="32"/>
    </row>
    <row r="112" spans="1:12" x14ac:dyDescent="0.25">
      <c r="A112" s="32"/>
      <c r="B112" s="32"/>
      <c r="C112" s="32"/>
      <c r="D112" s="32"/>
      <c r="F112" s="32"/>
      <c r="G112" s="32"/>
      <c r="L112" s="32"/>
    </row>
    <row r="113" s="32" customFormat="1" x14ac:dyDescent="0.25"/>
    <row r="114" s="32" customFormat="1" x14ac:dyDescent="0.25"/>
    <row r="115" s="32" customFormat="1" x14ac:dyDescent="0.25"/>
    <row r="116" s="32" customFormat="1" x14ac:dyDescent="0.25"/>
    <row r="117" s="32" customFormat="1" x14ac:dyDescent="0.25"/>
    <row r="118" s="32" customFormat="1" x14ac:dyDescent="0.25"/>
    <row r="119" s="32" customFormat="1" x14ac:dyDescent="0.25"/>
    <row r="120" s="32" customFormat="1" x14ac:dyDescent="0.25"/>
    <row r="121" s="32" customFormat="1" x14ac:dyDescent="0.25"/>
    <row r="122" s="32" customFormat="1" x14ac:dyDescent="0.25"/>
    <row r="123" s="32" customFormat="1" x14ac:dyDescent="0.25"/>
    <row r="124" s="32" customFormat="1" x14ac:dyDescent="0.25"/>
    <row r="125" s="32" customFormat="1" x14ac:dyDescent="0.25"/>
    <row r="126" s="32" customFormat="1" x14ac:dyDescent="0.25"/>
    <row r="127" s="32" customFormat="1" x14ac:dyDescent="0.25"/>
    <row r="128" s="32" customFormat="1" x14ac:dyDescent="0.25"/>
    <row r="129" s="32" customFormat="1" x14ac:dyDescent="0.25"/>
    <row r="130" s="32" customFormat="1" x14ac:dyDescent="0.25"/>
    <row r="131" s="32" customFormat="1" x14ac:dyDescent="0.25"/>
    <row r="132" s="32" customFormat="1" x14ac:dyDescent="0.25"/>
    <row r="133" s="32" customFormat="1" x14ac:dyDescent="0.25"/>
    <row r="134" s="32" customFormat="1" x14ac:dyDescent="0.25"/>
    <row r="135" s="32" customFormat="1" x14ac:dyDescent="0.25"/>
    <row r="136" s="32" customFormat="1" x14ac:dyDescent="0.25"/>
    <row r="137" s="32" customFormat="1" x14ac:dyDescent="0.25"/>
    <row r="138" s="32" customFormat="1" x14ac:dyDescent="0.25"/>
    <row r="139" s="32" customFormat="1" x14ac:dyDescent="0.25"/>
    <row r="140" s="32" customFormat="1" x14ac:dyDescent="0.25"/>
    <row r="141" s="32" customFormat="1" x14ac:dyDescent="0.25"/>
    <row r="142" s="32" customFormat="1" x14ac:dyDescent="0.25"/>
    <row r="143" s="32" customFormat="1" x14ac:dyDescent="0.25"/>
    <row r="144" s="32" customFormat="1" x14ac:dyDescent="0.25"/>
    <row r="145" s="32" customFormat="1" x14ac:dyDescent="0.25"/>
    <row r="146" s="32" customFormat="1" x14ac:dyDescent="0.25"/>
    <row r="147" s="32" customFormat="1" x14ac:dyDescent="0.25"/>
    <row r="148" s="32" customFormat="1" x14ac:dyDescent="0.25"/>
    <row r="149" s="32" customFormat="1" x14ac:dyDescent="0.25"/>
    <row r="150" s="32" customFormat="1" x14ac:dyDescent="0.25"/>
    <row r="151" s="32" customFormat="1" x14ac:dyDescent="0.25"/>
    <row r="152" s="32" customFormat="1" x14ac:dyDescent="0.25"/>
    <row r="153" s="32" customFormat="1" x14ac:dyDescent="0.25"/>
    <row r="154" s="32" customFormat="1" x14ac:dyDescent="0.25"/>
    <row r="155" s="32" customFormat="1" x14ac:dyDescent="0.25"/>
    <row r="156" s="32" customFormat="1" x14ac:dyDescent="0.25"/>
    <row r="157" s="32" customFormat="1" x14ac:dyDescent="0.25"/>
    <row r="158" s="32" customFormat="1" x14ac:dyDescent="0.25"/>
    <row r="159" s="32" customFormat="1" x14ac:dyDescent="0.25"/>
    <row r="160" s="32" customFormat="1" x14ac:dyDescent="0.25"/>
    <row r="161" s="32" customFormat="1" x14ac:dyDescent="0.25"/>
    <row r="162" s="32" customFormat="1" x14ac:dyDescent="0.25"/>
    <row r="163" s="32" customFormat="1" x14ac:dyDescent="0.25"/>
    <row r="164" s="32" customFormat="1" x14ac:dyDescent="0.25"/>
    <row r="165" s="32" customFormat="1" x14ac:dyDescent="0.25"/>
    <row r="166" s="32" customFormat="1" x14ac:dyDescent="0.25"/>
    <row r="167" s="32" customFormat="1" x14ac:dyDescent="0.25"/>
    <row r="168" s="32" customFormat="1" x14ac:dyDescent="0.25"/>
    <row r="169" s="32" customFormat="1" x14ac:dyDescent="0.25"/>
    <row r="170" s="32" customFormat="1" x14ac:dyDescent="0.25"/>
    <row r="171" s="32" customFormat="1" x14ac:dyDescent="0.25"/>
    <row r="172" s="32" customFormat="1" x14ac:dyDescent="0.25"/>
    <row r="173" s="32" customFormat="1" x14ac:dyDescent="0.25"/>
    <row r="174" s="32" customFormat="1" x14ac:dyDescent="0.25"/>
    <row r="175" s="32" customFormat="1" x14ac:dyDescent="0.25"/>
    <row r="176" s="32" customFormat="1" x14ac:dyDescent="0.25"/>
    <row r="177" s="32" customFormat="1" x14ac:dyDescent="0.25"/>
    <row r="178" s="32" customFormat="1" x14ac:dyDescent="0.25"/>
    <row r="179" s="32" customFormat="1" x14ac:dyDescent="0.25"/>
    <row r="180" s="32" customFormat="1" x14ac:dyDescent="0.25"/>
    <row r="181" s="32" customFormat="1" x14ac:dyDescent="0.25"/>
    <row r="182" s="32" customFormat="1" x14ac:dyDescent="0.25"/>
    <row r="183" s="32" customFormat="1" x14ac:dyDescent="0.25"/>
    <row r="184" s="32" customFormat="1" x14ac:dyDescent="0.25"/>
    <row r="185" s="32" customFormat="1" x14ac:dyDescent="0.25"/>
    <row r="186" s="32" customFormat="1" x14ac:dyDescent="0.25"/>
    <row r="187" s="32" customFormat="1" x14ac:dyDescent="0.25"/>
    <row r="188" s="32" customFormat="1" x14ac:dyDescent="0.25"/>
    <row r="189" s="32" customFormat="1" x14ac:dyDescent="0.25"/>
    <row r="190" s="32" customFormat="1" x14ac:dyDescent="0.25"/>
    <row r="191" s="32" customFormat="1" x14ac:dyDescent="0.25"/>
    <row r="192" s="32" customFormat="1" x14ac:dyDescent="0.25"/>
    <row r="193" s="32" customFormat="1" x14ac:dyDescent="0.25"/>
    <row r="194" s="32" customFormat="1" x14ac:dyDescent="0.25"/>
    <row r="195" s="32" customFormat="1" x14ac:dyDescent="0.25"/>
    <row r="196" s="32" customFormat="1" x14ac:dyDescent="0.25"/>
    <row r="197" s="32" customFormat="1" x14ac:dyDescent="0.25"/>
    <row r="198" s="32" customFormat="1" x14ac:dyDescent="0.25"/>
    <row r="199" s="32" customFormat="1" x14ac:dyDescent="0.25"/>
    <row r="200" s="32" customFormat="1" x14ac:dyDescent="0.25"/>
    <row r="201" s="32" customFormat="1" x14ac:dyDescent="0.25"/>
    <row r="202" s="32" customFormat="1" x14ac:dyDescent="0.25"/>
    <row r="203" s="32" customFormat="1" x14ac:dyDescent="0.25"/>
    <row r="204" s="32" customFormat="1" x14ac:dyDescent="0.25"/>
    <row r="205" s="32" customFormat="1" x14ac:dyDescent="0.25"/>
    <row r="206" s="32" customFormat="1" x14ac:dyDescent="0.25"/>
    <row r="207" s="32" customFormat="1" x14ac:dyDescent="0.25"/>
    <row r="208" s="32" customFormat="1" x14ac:dyDescent="0.25"/>
    <row r="209" s="32" customFormat="1" x14ac:dyDescent="0.25"/>
    <row r="210" s="32" customFormat="1" x14ac:dyDescent="0.25"/>
    <row r="211" s="32" customFormat="1" x14ac:dyDescent="0.25"/>
    <row r="212" s="32" customFormat="1" x14ac:dyDescent="0.25"/>
    <row r="213" s="32" customFormat="1" x14ac:dyDescent="0.25"/>
    <row r="214" s="32" customFormat="1" x14ac:dyDescent="0.25"/>
    <row r="215" s="32" customFormat="1" x14ac:dyDescent="0.25"/>
    <row r="216" s="32" customFormat="1" x14ac:dyDescent="0.25"/>
    <row r="217" s="32" customFormat="1" x14ac:dyDescent="0.25"/>
    <row r="218" s="32" customFormat="1" x14ac:dyDescent="0.25"/>
    <row r="219" s="32" customFormat="1" x14ac:dyDescent="0.25"/>
    <row r="220" s="32" customFormat="1" x14ac:dyDescent="0.25"/>
    <row r="221" s="32" customFormat="1" x14ac:dyDescent="0.25"/>
    <row r="222" s="32" customFormat="1" x14ac:dyDescent="0.25"/>
    <row r="223" s="32" customFormat="1" x14ac:dyDescent="0.25"/>
    <row r="224" s="32" customFormat="1" x14ac:dyDescent="0.25"/>
    <row r="225" s="32" customFormat="1" x14ac:dyDescent="0.25"/>
    <row r="226" s="32" customFormat="1" x14ac:dyDescent="0.25"/>
    <row r="227" s="32" customFormat="1" x14ac:dyDescent="0.25"/>
    <row r="228" s="32" customFormat="1" x14ac:dyDescent="0.25"/>
    <row r="229" s="32" customFormat="1" x14ac:dyDescent="0.25"/>
    <row r="230" s="32" customFormat="1" x14ac:dyDescent="0.25"/>
    <row r="231" s="32" customFormat="1" x14ac:dyDescent="0.25"/>
    <row r="232" s="32" customFormat="1" x14ac:dyDescent="0.25"/>
    <row r="233" s="32" customFormat="1" x14ac:dyDescent="0.25"/>
    <row r="234" s="32" customFormat="1" x14ac:dyDescent="0.25"/>
    <row r="235" s="32" customFormat="1" x14ac:dyDescent="0.25"/>
    <row r="236" s="32" customFormat="1" x14ac:dyDescent="0.25"/>
    <row r="237" s="32" customFormat="1" x14ac:dyDescent="0.25"/>
    <row r="238" s="32" customFormat="1" x14ac:dyDescent="0.25"/>
    <row r="239" s="32" customFormat="1" x14ac:dyDescent="0.25"/>
    <row r="240" s="32" customFormat="1" x14ac:dyDescent="0.25"/>
    <row r="241" s="32" customFormat="1" x14ac:dyDescent="0.25"/>
    <row r="242" s="32" customFormat="1" x14ac:dyDescent="0.25"/>
    <row r="243" s="32" customFormat="1" x14ac:dyDescent="0.25"/>
    <row r="244" s="32" customFormat="1" x14ac:dyDescent="0.25"/>
    <row r="245" s="32" customFormat="1" x14ac:dyDescent="0.25"/>
    <row r="246" s="32" customFormat="1" x14ac:dyDescent="0.25"/>
    <row r="247" s="32" customFormat="1" x14ac:dyDescent="0.25"/>
    <row r="248" s="32" customFormat="1" x14ac:dyDescent="0.25"/>
    <row r="249" s="32" customFormat="1" x14ac:dyDescent="0.25"/>
    <row r="250" s="32" customFormat="1" x14ac:dyDescent="0.25"/>
    <row r="251" s="32" customFormat="1" x14ac:dyDescent="0.25"/>
    <row r="252" s="32" customFormat="1" x14ac:dyDescent="0.25"/>
    <row r="253" s="32" customFormat="1" x14ac:dyDescent="0.25"/>
    <row r="254" s="32" customFormat="1" x14ac:dyDescent="0.25"/>
    <row r="255" s="32" customFormat="1" x14ac:dyDescent="0.25"/>
    <row r="256" s="32" customFormat="1" x14ac:dyDescent="0.25"/>
    <row r="257" s="32" customFormat="1" x14ac:dyDescent="0.25"/>
    <row r="258" s="32" customFormat="1" x14ac:dyDescent="0.25"/>
    <row r="259" s="32" customFormat="1" x14ac:dyDescent="0.25"/>
    <row r="260" s="32" customFormat="1" x14ac:dyDescent="0.25"/>
    <row r="261" s="32" customFormat="1" x14ac:dyDescent="0.25"/>
    <row r="262" s="32" customFormat="1" x14ac:dyDescent="0.25"/>
    <row r="263" s="32" customFormat="1" x14ac:dyDescent="0.25"/>
    <row r="264" s="32" customFormat="1" x14ac:dyDescent="0.25"/>
    <row r="265" s="32" customFormat="1" x14ac:dyDescent="0.25"/>
    <row r="266" s="32" customFormat="1" x14ac:dyDescent="0.25"/>
    <row r="267" s="32" customFormat="1" x14ac:dyDescent="0.25"/>
    <row r="268" s="32" customFormat="1" x14ac:dyDescent="0.25"/>
    <row r="269" s="32" customFormat="1" x14ac:dyDescent="0.25"/>
    <row r="270" s="32" customFormat="1" x14ac:dyDescent="0.25"/>
    <row r="271" s="32" customFormat="1" x14ac:dyDescent="0.25"/>
    <row r="272" s="32" customFormat="1" x14ac:dyDescent="0.25"/>
    <row r="273" s="32" customFormat="1" x14ac:dyDescent="0.25"/>
    <row r="274" s="32" customFormat="1" x14ac:dyDescent="0.25"/>
    <row r="275" s="32" customFormat="1" x14ac:dyDescent="0.25"/>
    <row r="276" s="32" customFormat="1" x14ac:dyDescent="0.25"/>
    <row r="277" s="32" customFormat="1" x14ac:dyDescent="0.25"/>
    <row r="278" s="32" customFormat="1" x14ac:dyDescent="0.25"/>
    <row r="279" s="32" customFormat="1" x14ac:dyDescent="0.25"/>
    <row r="280" s="32" customFormat="1" x14ac:dyDescent="0.25"/>
    <row r="281" s="32" customFormat="1" x14ac:dyDescent="0.25"/>
    <row r="282" s="32" customFormat="1" x14ac:dyDescent="0.25"/>
    <row r="283" s="32" customFormat="1" x14ac:dyDescent="0.25"/>
    <row r="284" s="32" customFormat="1" x14ac:dyDescent="0.25"/>
    <row r="285" s="32" customFormat="1" x14ac:dyDescent="0.25"/>
    <row r="286" s="32" customFormat="1" x14ac:dyDescent="0.25"/>
    <row r="287" s="32" customFormat="1" x14ac:dyDescent="0.25"/>
    <row r="288" s="32" customFormat="1" x14ac:dyDescent="0.25"/>
    <row r="289" s="32" customFormat="1" x14ac:dyDescent="0.25"/>
    <row r="290" s="32" customFormat="1" x14ac:dyDescent="0.25"/>
    <row r="291" s="32" customFormat="1" x14ac:dyDescent="0.25"/>
    <row r="292" s="32" customFormat="1" x14ac:dyDescent="0.25"/>
    <row r="293" s="32" customFormat="1" x14ac:dyDescent="0.25"/>
    <row r="294" s="32" customFormat="1" x14ac:dyDescent="0.25"/>
    <row r="295" s="32" customFormat="1" x14ac:dyDescent="0.25"/>
    <row r="296" s="32" customFormat="1" x14ac:dyDescent="0.25"/>
    <row r="297" s="32" customFormat="1" x14ac:dyDescent="0.25"/>
    <row r="298" s="32" customFormat="1" x14ac:dyDescent="0.25"/>
    <row r="299" s="32" customFormat="1" x14ac:dyDescent="0.25"/>
    <row r="300" s="32" customFormat="1" x14ac:dyDescent="0.25"/>
    <row r="301" s="32" customFormat="1" x14ac:dyDescent="0.25"/>
    <row r="302" s="32" customFormat="1" x14ac:dyDescent="0.25"/>
    <row r="303" s="32" customFormat="1" x14ac:dyDescent="0.25"/>
    <row r="304" s="32" customFormat="1" x14ac:dyDescent="0.25"/>
    <row r="305" s="32" customFormat="1" x14ac:dyDescent="0.25"/>
    <row r="306" s="32" customFormat="1" x14ac:dyDescent="0.25"/>
    <row r="307" s="32" customFormat="1" x14ac:dyDescent="0.25"/>
    <row r="308" s="32" customFormat="1" x14ac:dyDescent="0.25"/>
    <row r="309" s="32" customFormat="1" x14ac:dyDescent="0.25"/>
    <row r="310" s="32" customFormat="1" x14ac:dyDescent="0.25"/>
    <row r="311" s="32" customFormat="1" x14ac:dyDescent="0.25"/>
    <row r="312" s="32" customFormat="1" x14ac:dyDescent="0.25"/>
    <row r="313" s="32" customFormat="1" x14ac:dyDescent="0.25"/>
    <row r="314" s="32" customFormat="1" x14ac:dyDescent="0.25"/>
    <row r="315" s="32" customFormat="1" x14ac:dyDescent="0.25"/>
    <row r="316" s="32" customFormat="1" x14ac:dyDescent="0.25"/>
    <row r="317" s="32" customFormat="1" x14ac:dyDescent="0.25"/>
    <row r="318" s="32" customFormat="1" x14ac:dyDescent="0.25"/>
    <row r="319" s="32" customFormat="1" x14ac:dyDescent="0.25"/>
    <row r="320" s="32" customFormat="1" x14ac:dyDescent="0.25"/>
    <row r="321" s="32" customFormat="1" x14ac:dyDescent="0.25"/>
    <row r="322" s="32" customFormat="1" x14ac:dyDescent="0.25"/>
    <row r="323" s="32" customFormat="1" x14ac:dyDescent="0.25"/>
    <row r="324" s="32" customFormat="1" x14ac:dyDescent="0.25"/>
    <row r="325" s="32" customFormat="1" x14ac:dyDescent="0.25"/>
    <row r="326" s="32" customFormat="1" x14ac:dyDescent="0.25"/>
    <row r="327" s="32" customFormat="1" x14ac:dyDescent="0.25"/>
    <row r="328" s="32" customFormat="1" x14ac:dyDescent="0.25"/>
    <row r="329" s="32" customFormat="1" x14ac:dyDescent="0.25"/>
    <row r="330" s="32" customFormat="1" x14ac:dyDescent="0.25"/>
    <row r="331" s="32" customFormat="1" x14ac:dyDescent="0.25"/>
    <row r="332" s="32" customFormat="1" x14ac:dyDescent="0.25"/>
    <row r="333" s="32" customFormat="1" x14ac:dyDescent="0.25"/>
    <row r="334" s="32" customFormat="1" x14ac:dyDescent="0.25"/>
    <row r="335" s="32" customFormat="1" x14ac:dyDescent="0.25"/>
    <row r="336" s="32" customFormat="1" x14ac:dyDescent="0.25"/>
    <row r="337" s="32" customFormat="1" x14ac:dyDescent="0.25"/>
    <row r="338" s="32" customFormat="1" x14ac:dyDescent="0.25"/>
    <row r="339" s="32" customFormat="1" x14ac:dyDescent="0.25"/>
    <row r="340" s="32" customFormat="1" x14ac:dyDescent="0.25"/>
    <row r="341" s="32" customFormat="1" x14ac:dyDescent="0.25"/>
    <row r="342" s="32" customFormat="1" x14ac:dyDescent="0.25"/>
    <row r="343" s="32" customFormat="1" x14ac:dyDescent="0.25"/>
    <row r="344" s="32" customFormat="1" x14ac:dyDescent="0.25"/>
    <row r="345" s="32" customFormat="1" x14ac:dyDescent="0.25"/>
    <row r="346" s="32" customFormat="1" x14ac:dyDescent="0.25"/>
    <row r="347" s="32" customFormat="1" x14ac:dyDescent="0.25"/>
    <row r="348" s="32" customFormat="1" x14ac:dyDescent="0.25"/>
    <row r="349" s="32" customFormat="1" x14ac:dyDescent="0.25"/>
    <row r="350" s="32" customFormat="1" x14ac:dyDescent="0.25"/>
    <row r="351" s="32" customFormat="1" x14ac:dyDescent="0.25"/>
    <row r="352" s="32" customFormat="1" x14ac:dyDescent="0.25"/>
    <row r="353" s="32" customFormat="1" x14ac:dyDescent="0.25"/>
    <row r="354" s="32" customFormat="1" x14ac:dyDescent="0.25"/>
    <row r="355" s="32" customFormat="1" x14ac:dyDescent="0.25"/>
    <row r="356" s="32" customFormat="1" x14ac:dyDescent="0.25"/>
    <row r="357" s="32" customFormat="1" x14ac:dyDescent="0.25"/>
    <row r="358" s="32" customFormat="1" x14ac:dyDescent="0.25"/>
    <row r="359" s="32" customFormat="1" x14ac:dyDescent="0.25"/>
    <row r="360" s="32" customFormat="1" x14ac:dyDescent="0.25"/>
    <row r="361" s="32" customFormat="1" x14ac:dyDescent="0.25"/>
    <row r="362" s="32" customFormat="1" x14ac:dyDescent="0.25"/>
    <row r="363" s="32" customFormat="1" x14ac:dyDescent="0.25"/>
    <row r="364" s="32" customFormat="1" x14ac:dyDescent="0.25"/>
    <row r="365" s="32" customFormat="1" x14ac:dyDescent="0.25"/>
    <row r="366" s="32" customFormat="1" x14ac:dyDescent="0.25"/>
    <row r="367" s="32" customFormat="1" x14ac:dyDescent="0.25"/>
    <row r="368" s="32" customFormat="1" x14ac:dyDescent="0.25"/>
    <row r="369" s="32" customFormat="1" x14ac:dyDescent="0.25"/>
    <row r="370" s="32" customFormat="1" x14ac:dyDescent="0.25"/>
    <row r="371" s="32" customFormat="1" x14ac:dyDescent="0.25"/>
    <row r="372" s="32" customFormat="1" x14ac:dyDescent="0.25"/>
    <row r="373" s="32" customFormat="1" x14ac:dyDescent="0.25"/>
    <row r="374" s="32" customFormat="1" x14ac:dyDescent="0.25"/>
    <row r="375" s="32" customFormat="1" x14ac:dyDescent="0.25"/>
    <row r="376" s="32" customFormat="1" x14ac:dyDescent="0.25"/>
    <row r="377" s="32" customFormat="1" x14ac:dyDescent="0.25"/>
    <row r="378" s="32" customFormat="1" x14ac:dyDescent="0.25"/>
    <row r="379" s="32" customFormat="1" x14ac:dyDescent="0.25"/>
    <row r="380" s="32" customFormat="1" x14ac:dyDescent="0.25"/>
    <row r="381" s="32" customFormat="1" x14ac:dyDescent="0.25"/>
    <row r="382" s="32" customFormat="1" x14ac:dyDescent="0.25"/>
    <row r="383" s="32" customFormat="1" x14ac:dyDescent="0.25"/>
    <row r="384" s="32" customFormat="1" x14ac:dyDescent="0.25"/>
    <row r="385" s="32" customFormat="1" x14ac:dyDescent="0.25"/>
    <row r="386" s="32" customFormat="1" x14ac:dyDescent="0.25"/>
    <row r="387" s="32" customFormat="1" x14ac:dyDescent="0.25"/>
    <row r="388" s="32" customFormat="1" x14ac:dyDescent="0.25"/>
    <row r="389" s="32" customFormat="1" x14ac:dyDescent="0.25"/>
    <row r="390" s="32" customFormat="1" x14ac:dyDescent="0.25"/>
    <row r="391" s="32" customFormat="1" x14ac:dyDescent="0.25"/>
    <row r="392" s="32" customFormat="1" x14ac:dyDescent="0.25"/>
    <row r="393" s="32" customFormat="1" x14ac:dyDescent="0.25"/>
    <row r="394" s="32" customFormat="1" x14ac:dyDescent="0.25"/>
    <row r="395" s="32" customFormat="1" x14ac:dyDescent="0.25"/>
    <row r="396" s="32" customFormat="1" x14ac:dyDescent="0.25"/>
    <row r="397" s="32" customFormat="1" x14ac:dyDescent="0.25"/>
    <row r="398" s="32" customFormat="1" x14ac:dyDescent="0.25"/>
    <row r="399" s="32" customFormat="1" x14ac:dyDescent="0.25"/>
    <row r="400" s="32" customFormat="1" x14ac:dyDescent="0.25"/>
  </sheetData>
  <mergeCells count="1">
    <mergeCell ref="D2:K2"/>
  </mergeCells>
  <phoneticPr fontId="2" type="noConversion"/>
  <conditionalFormatting sqref="J10:J400">
    <cfRule type="expression" dxfId="45" priority="1">
      <formula>AND($B10&lt;TODAY(),$J10="Previsto")</formula>
    </cfRule>
    <cfRule type="expression" dxfId="44" priority="2">
      <formula>$J10="Realizado"</formula>
    </cfRule>
    <cfRule type="expression" dxfId="43" priority="3">
      <formula>$J10="Previsto"</formula>
    </cfRule>
  </conditionalFormatting>
  <conditionalFormatting sqref="D10:D400">
    <cfRule type="expression" dxfId="42" priority="4">
      <formula>$D10="RECEITA"</formula>
    </cfRule>
    <cfRule type="expression" dxfId="41" priority="5">
      <formula>$D10="DESPESA"</formula>
    </cfRule>
    <cfRule type="expression" dxfId="40" priority="6">
      <formula>$D10="INVEST"</formula>
    </cfRule>
  </conditionalFormatting>
  <conditionalFormatting sqref="A10:L400">
    <cfRule type="expression" dxfId="39" priority="7">
      <formula>AND($D10&lt;&gt;"",MOD(ROW(),2)=0)</formula>
    </cfRule>
  </conditionalFormatting>
  <dataValidations count="5">
    <dataValidation type="list" allowBlank="1" showInputMessage="1" showErrorMessage="1" sqref="I10:I106 I401:I2000" xr:uid="{10407A75-88F5-4DFD-A70D-E39F714AA957}">
      <formula1>ListaPessoas</formula1>
    </dataValidation>
    <dataValidation type="list" allowBlank="1" showInputMessage="1" showErrorMessage="1" sqref="E10:E106 E401:E2000" xr:uid="{18BA888D-1325-4305-BD65-3C4E88F98107}">
      <formula1>ListaCategoria</formula1>
    </dataValidation>
    <dataValidation type="list" allowBlank="1" showInputMessage="1" showErrorMessage="1" errorTitle="ERRO" error="Digite apenas:_x000a_1) RECEITA _x000a_ou _x000a_2) DESPESA_x000a_ou_x000a_3)INVEST" promptTitle="Atenção" prompt="RECEITA, DESPESA ou INVEST?" sqref="D10:D106 D401:D2000" xr:uid="{C7A38EED-9729-4D37-8862-D8E9F915AA3D}">
      <formula1>TIPO</formula1>
    </dataValidation>
    <dataValidation type="date" allowBlank="1" showInputMessage="1" showErrorMessage="1" error="Digite uma data valida, a partir de 5 anos atras, e ate daqui a 5 anos" sqref="A10:B106 A401:B2000" xr:uid="{A0A8908B-8318-44DF-8A68-6BF17FB6F346}">
      <formula1>TODAY()-5*365</formula1>
      <formula2>TODAY()+5*365</formula2>
    </dataValidation>
    <dataValidation type="list" allowBlank="1" showInputMessage="1" showErrorMessage="1" errorTitle="Valor nao permitido" error="Escolha Realizado ou Previsto." promptTitle="Status" prompt="Realizado ou Previsto" sqref="J10:J2000" xr:uid="{0DBDD6AC-C1FF-4C33-94D5-1C0A12AD6316}">
      <formula1>"Realizado,Previsto"</formula1>
    </dataValidation>
  </dataValidations>
  <pageMargins left="0.511811024" right="0.511811024" top="0.78740157499999996" bottom="0.78740157499999996" header="0.31496062000000002" footer="0.31496062000000002"/>
  <pageSetup paperSize="9" scale="58" fitToHeight="0" orientation="landscape" horizontalDpi="300" verticalDpi="300"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04981-234E-42C2-8BBA-38A9A711C1A3}">
  <sheetPr codeName="Planilha5">
    <pageSetUpPr fitToPage="1"/>
  </sheetPr>
  <dimension ref="A1:K59"/>
  <sheetViews>
    <sheetView showGridLines="0" showRowColHeaders="0" zoomScaleNormal="100" workbookViewId="0">
      <selection activeCell="B5" sqref="B5"/>
    </sheetView>
  </sheetViews>
  <sheetFormatPr defaultColWidth="0" defaultRowHeight="14.25" zeroHeight="1" x14ac:dyDescent="0.25"/>
  <cols>
    <col min="1" max="1" width="2.625" style="44" customWidth="1"/>
    <col min="2" max="2" width="22.625" style="44" customWidth="1"/>
    <col min="3" max="3" width="30.625" style="44" customWidth="1"/>
    <col min="4" max="4" width="30.625" style="48" customWidth="1"/>
    <col min="5" max="5" width="18.625" style="48" customWidth="1"/>
    <col min="6" max="6" width="16.625" style="47" customWidth="1"/>
    <col min="7" max="7" width="20.625" style="47" customWidth="1"/>
    <col min="8" max="8" width="20.625" style="44" customWidth="1"/>
    <col min="9" max="9" width="34.625" style="44" customWidth="1"/>
    <col min="10" max="10" width="3.625" style="44" customWidth="1"/>
    <col min="11" max="16384" width="9" style="44" hidden="1"/>
  </cols>
  <sheetData>
    <row r="1" spans="1:9" ht="15.95" customHeight="1" x14ac:dyDescent="0.25">
      <c r="D1" s="44"/>
      <c r="E1" s="44"/>
      <c r="F1" s="44"/>
      <c r="G1" s="44"/>
    </row>
    <row r="2" spans="1:9" ht="15.95" customHeight="1" x14ac:dyDescent="0.25">
      <c r="A2" s="45"/>
      <c r="D2" s="44"/>
      <c r="E2" s="44"/>
      <c r="F2" s="44"/>
      <c r="G2" s="44"/>
    </row>
    <row r="3" spans="1:9" ht="15.95" customHeight="1" x14ac:dyDescent="0.25">
      <c r="D3" s="44"/>
      <c r="E3" s="44"/>
      <c r="F3" s="44"/>
      <c r="G3" s="44"/>
    </row>
    <row r="4" spans="1:9" x14ac:dyDescent="0.25">
      <c r="D4" s="44"/>
      <c r="E4" s="44"/>
      <c r="F4" s="44"/>
      <c r="G4" s="44"/>
    </row>
    <row r="5" spans="1:9" ht="30" customHeight="1" x14ac:dyDescent="0.25">
      <c r="B5" s="49" t="s">
        <v>116</v>
      </c>
      <c r="D5" s="44"/>
      <c r="E5" s="44"/>
      <c r="F5" s="44"/>
      <c r="G5" s="44"/>
    </row>
    <row r="6" spans="1:9" x14ac:dyDescent="0.25">
      <c r="B6" s="50" t="s">
        <v>117</v>
      </c>
      <c r="D6" s="44"/>
      <c r="E6" s="44"/>
      <c r="F6" s="44"/>
      <c r="G6" s="44"/>
    </row>
    <row r="7" spans="1:9" ht="9.9499999999999993" customHeight="1" x14ac:dyDescent="0.25">
      <c r="D7" s="44"/>
      <c r="E7" s="44"/>
      <c r="F7" s="44"/>
      <c r="G7" s="44"/>
    </row>
    <row r="8" spans="1:9" ht="21.95" customHeight="1" x14ac:dyDescent="0.25">
      <c r="B8" s="75" t="s">
        <v>121</v>
      </c>
      <c r="C8" s="51" t="s">
        <v>118</v>
      </c>
      <c r="D8" s="53" t="s">
        <v>119</v>
      </c>
      <c r="E8" s="44"/>
      <c r="F8" s="44"/>
      <c r="G8" s="44"/>
    </row>
    <row r="9" spans="1:9" ht="38.1" customHeight="1" x14ac:dyDescent="0.25">
      <c r="B9" s="76" t="s">
        <v>122</v>
      </c>
      <c r="C9" s="52">
        <f>IFERROR(LOOKUP(2,1/(Tb_Emprestimos[DESCRIÇÃO]="FINANC. VEICULO"),Tb_Emprestimos[Sld Devedor]),0)</f>
        <v>29989</v>
      </c>
      <c r="D9" s="54">
        <f>IFERROR(LOOKUP(2,1/(Tb_Emprestimos[DESCRIÇÃO]="CONSIGNADO"),Tb_Emprestimos[Sld Devedor]),0)</f>
        <v>23560</v>
      </c>
      <c r="E9" s="44"/>
      <c r="F9" s="44"/>
      <c r="G9" s="44"/>
    </row>
    <row r="10" spans="1:9" x14ac:dyDescent="0.25">
      <c r="D10" s="44"/>
      <c r="E10" s="44"/>
      <c r="F10" s="44"/>
      <c r="G10" s="44"/>
    </row>
    <row r="11" spans="1:9" ht="16.5" x14ac:dyDescent="0.3">
      <c r="B11" s="55" t="s">
        <v>120</v>
      </c>
      <c r="D11" s="44"/>
      <c r="E11" s="44"/>
      <c r="F11" s="44"/>
      <c r="G11" s="44"/>
    </row>
    <row r="12" spans="1:9" ht="26.1" customHeight="1" x14ac:dyDescent="0.25">
      <c r="B12" s="40" t="s">
        <v>29</v>
      </c>
      <c r="C12" s="40" t="s">
        <v>3</v>
      </c>
      <c r="D12" s="40" t="s">
        <v>30</v>
      </c>
      <c r="E12" s="40" t="s">
        <v>31</v>
      </c>
      <c r="F12" s="40" t="s">
        <v>32</v>
      </c>
      <c r="G12" s="40" t="s">
        <v>33</v>
      </c>
      <c r="H12" s="40" t="s">
        <v>34</v>
      </c>
      <c r="I12" s="40" t="s">
        <v>35</v>
      </c>
    </row>
    <row r="13" spans="1:9" ht="21.95" customHeight="1" x14ac:dyDescent="0.25">
      <c r="B13" s="58">
        <v>46239</v>
      </c>
      <c r="C13" s="60">
        <f>Tb_Emprestimos[[#This Row],[DATA]]</f>
        <v>46239</v>
      </c>
      <c r="D13" s="56">
        <v>46</v>
      </c>
      <c r="E13" s="62">
        <v>1150</v>
      </c>
      <c r="F13" s="63">
        <v>1.35</v>
      </c>
      <c r="G13" s="62">
        <v>38000</v>
      </c>
      <c r="H13" s="62">
        <v>31450</v>
      </c>
      <c r="I13" s="56" t="s">
        <v>114</v>
      </c>
    </row>
    <row r="14" spans="1:9" ht="21.95" customHeight="1" x14ac:dyDescent="0.25">
      <c r="B14" s="59">
        <v>46239</v>
      </c>
      <c r="C14" s="61">
        <f>Tb_Emprestimos[[#This Row],[DATA]]</f>
        <v>46239</v>
      </c>
      <c r="D14" s="57">
        <v>59</v>
      </c>
      <c r="E14" s="64">
        <v>780</v>
      </c>
      <c r="F14" s="65">
        <v>1.7</v>
      </c>
      <c r="G14" s="64">
        <v>28000</v>
      </c>
      <c r="H14" s="64">
        <v>24300</v>
      </c>
      <c r="I14" s="57" t="s">
        <v>36</v>
      </c>
    </row>
    <row r="15" spans="1:9" ht="21.95" customHeight="1" x14ac:dyDescent="0.25">
      <c r="B15" s="59">
        <v>46270</v>
      </c>
      <c r="C15" s="61">
        <f>Tb_Emprestimos[[#This Row],[DATA]]</f>
        <v>46270</v>
      </c>
      <c r="D15" s="57">
        <v>45</v>
      </c>
      <c r="E15" s="64">
        <v>1150</v>
      </c>
      <c r="F15" s="65">
        <v>1.35</v>
      </c>
      <c r="G15" s="64"/>
      <c r="H15" s="64">
        <v>30724</v>
      </c>
      <c r="I15" s="57" t="s">
        <v>114</v>
      </c>
    </row>
    <row r="16" spans="1:9" ht="21.95" customHeight="1" x14ac:dyDescent="0.25">
      <c r="B16" s="59">
        <v>46270</v>
      </c>
      <c r="C16" s="61">
        <f>Tb_Emprestimos[[#This Row],[DATA]]</f>
        <v>46270</v>
      </c>
      <c r="D16" s="57">
        <v>58</v>
      </c>
      <c r="E16" s="64">
        <v>780</v>
      </c>
      <c r="F16" s="65">
        <v>1.7</v>
      </c>
      <c r="G16" s="64"/>
      <c r="H16" s="64">
        <v>23933</v>
      </c>
      <c r="I16" s="57" t="s">
        <v>36</v>
      </c>
    </row>
    <row r="17" spans="2:11" ht="21.95" customHeight="1" x14ac:dyDescent="0.25">
      <c r="B17" s="59">
        <v>46300</v>
      </c>
      <c r="C17" s="61">
        <f>Tb_Emprestimos[[#This Row],[DATA]]</f>
        <v>46300</v>
      </c>
      <c r="D17" s="57">
        <v>44</v>
      </c>
      <c r="E17" s="64">
        <v>1150</v>
      </c>
      <c r="F17" s="65">
        <v>1.35</v>
      </c>
      <c r="G17" s="64"/>
      <c r="H17" s="64">
        <v>29989</v>
      </c>
      <c r="I17" s="57" t="s">
        <v>114</v>
      </c>
      <c r="K17" s="46"/>
    </row>
    <row r="18" spans="2:11" ht="21.95" customHeight="1" x14ac:dyDescent="0.25">
      <c r="B18" s="59">
        <v>46300</v>
      </c>
      <c r="C18" s="61">
        <f>Tb_Emprestimos[[#This Row],[DATA]]</f>
        <v>46300</v>
      </c>
      <c r="D18" s="57">
        <v>57</v>
      </c>
      <c r="E18" s="64">
        <v>780</v>
      </c>
      <c r="F18" s="65">
        <v>1.7</v>
      </c>
      <c r="G18" s="64"/>
      <c r="H18" s="64">
        <v>23560</v>
      </c>
      <c r="I18" s="57" t="s">
        <v>36</v>
      </c>
    </row>
    <row r="19" spans="2:11" x14ac:dyDescent="0.25">
      <c r="D19" s="44"/>
      <c r="E19" s="44"/>
      <c r="F19" s="44"/>
      <c r="G19" s="44"/>
    </row>
    <row r="20" spans="2:11" x14ac:dyDescent="0.25">
      <c r="D20" s="44"/>
      <c r="E20" s="44"/>
      <c r="F20" s="44"/>
      <c r="G20" s="44"/>
    </row>
    <row r="21" spans="2:11" x14ac:dyDescent="0.25">
      <c r="D21" s="44"/>
      <c r="E21" s="44"/>
      <c r="F21" s="44"/>
      <c r="G21" s="44"/>
    </row>
    <row r="22" spans="2:11" x14ac:dyDescent="0.25">
      <c r="D22" s="44"/>
      <c r="E22" s="44"/>
      <c r="F22" s="44"/>
      <c r="G22" s="44"/>
    </row>
    <row r="23" spans="2:11" x14ac:dyDescent="0.25">
      <c r="D23" s="44"/>
      <c r="E23" s="44"/>
      <c r="F23" s="44"/>
      <c r="G23" s="44"/>
    </row>
    <row r="24" spans="2:11" x14ac:dyDescent="0.25">
      <c r="D24" s="44"/>
      <c r="E24" s="44"/>
      <c r="F24" s="44"/>
      <c r="G24" s="44"/>
    </row>
    <row r="25" spans="2:11" x14ac:dyDescent="0.25">
      <c r="D25" s="44"/>
      <c r="E25" s="44"/>
      <c r="F25" s="44"/>
      <c r="G25" s="44"/>
    </row>
    <row r="26" spans="2:11" x14ac:dyDescent="0.25">
      <c r="D26" s="44"/>
      <c r="E26" s="44"/>
      <c r="F26" s="44"/>
      <c r="G26" s="44"/>
    </row>
    <row r="27" spans="2:11" x14ac:dyDescent="0.25">
      <c r="D27" s="44"/>
      <c r="E27" s="44"/>
      <c r="F27" s="44"/>
      <c r="G27" s="44"/>
    </row>
    <row r="28" spans="2:11" x14ac:dyDescent="0.25">
      <c r="D28" s="44"/>
      <c r="E28" s="44"/>
      <c r="F28" s="44"/>
      <c r="G28" s="44"/>
    </row>
    <row r="29" spans="2:11" x14ac:dyDescent="0.25">
      <c r="D29" s="44"/>
      <c r="E29" s="44"/>
      <c r="F29" s="44"/>
      <c r="G29" s="44"/>
    </row>
    <row r="30" spans="2:11" x14ac:dyDescent="0.25">
      <c r="D30" s="44"/>
      <c r="E30" s="44"/>
      <c r="F30" s="44"/>
      <c r="G30" s="44"/>
    </row>
    <row r="31" spans="2:11" x14ac:dyDescent="0.25">
      <c r="D31" s="44"/>
      <c r="E31" s="44"/>
      <c r="F31" s="44"/>
      <c r="G31" s="44"/>
    </row>
    <row r="32" spans="2:11" x14ac:dyDescent="0.25">
      <c r="D32" s="44"/>
      <c r="E32" s="44"/>
      <c r="F32" s="44"/>
      <c r="G32" s="44"/>
    </row>
    <row r="33" s="44" customFormat="1" x14ac:dyDescent="0.25"/>
    <row r="34" s="44" customFormat="1" x14ac:dyDescent="0.25"/>
    <row r="35" s="44" customFormat="1" x14ac:dyDescent="0.25"/>
    <row r="36" s="44" customFormat="1" x14ac:dyDescent="0.25"/>
    <row r="37" s="44" customFormat="1" x14ac:dyDescent="0.25"/>
    <row r="38" s="44" customFormat="1" x14ac:dyDescent="0.25"/>
    <row r="39" s="44" customFormat="1" x14ac:dyDescent="0.25"/>
    <row r="40" s="44" customFormat="1" x14ac:dyDescent="0.25"/>
    <row r="41" s="44" customFormat="1" x14ac:dyDescent="0.25"/>
    <row r="42" s="44" customFormat="1" x14ac:dyDescent="0.25"/>
    <row r="43" s="44" customFormat="1" x14ac:dyDescent="0.25"/>
    <row r="44" s="44" customFormat="1" x14ac:dyDescent="0.25"/>
    <row r="45" s="44" customFormat="1" x14ac:dyDescent="0.25"/>
    <row r="46" s="44" customFormat="1" x14ac:dyDescent="0.25"/>
    <row r="47" s="44" customFormat="1" x14ac:dyDescent="0.25"/>
    <row r="48" s="44" customFormat="1" x14ac:dyDescent="0.25"/>
    <row r="49" s="44" customFormat="1" x14ac:dyDescent="0.25"/>
    <row r="50" s="44" customFormat="1" x14ac:dyDescent="0.25"/>
    <row r="51" s="44" customFormat="1" x14ac:dyDescent="0.25"/>
    <row r="52" s="44" customFormat="1" x14ac:dyDescent="0.25"/>
    <row r="53" s="44" customFormat="1" x14ac:dyDescent="0.25"/>
    <row r="54" s="44" customFormat="1" x14ac:dyDescent="0.25"/>
    <row r="55" s="44" customFormat="1" x14ac:dyDescent="0.25"/>
    <row r="56" s="44" customFormat="1" x14ac:dyDescent="0.25"/>
    <row r="57" s="44" customFormat="1" x14ac:dyDescent="0.25"/>
    <row r="58" s="44" customFormat="1" x14ac:dyDescent="0.25"/>
    <row r="59" s="44" customFormat="1" x14ac:dyDescent="0.25"/>
  </sheetData>
  <pageMargins left="0.511811024" right="0.511811024" top="0.78740157499999996" bottom="0.78740157499999996" header="0.31496062000000002" footer="0.31496062000000002"/>
  <pageSetup paperSize="9" orientation="landscape" horizontalDpi="300" verticalDpi="30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85C1C-3E06-4128-94AF-CD57B33F1B23}">
  <sheetPr codeName="Planilha4"/>
  <dimension ref="A1:AX59"/>
  <sheetViews>
    <sheetView topLeftCell="AD1" zoomScale="85" zoomScaleNormal="85" workbookViewId="0">
      <selection activeCell="S65" sqref="S65"/>
    </sheetView>
  </sheetViews>
  <sheetFormatPr defaultRowHeight="16.5" x14ac:dyDescent="0.3"/>
  <cols>
    <col min="2" max="2" width="11.5" bestFit="1" customWidth="1"/>
    <col min="3" max="3" width="19.5" bestFit="1" customWidth="1"/>
    <col min="4" max="4" width="11.375" bestFit="1" customWidth="1"/>
    <col min="5" max="5" width="12.375" bestFit="1" customWidth="1"/>
    <col min="6" max="6" width="13.125" bestFit="1" customWidth="1"/>
    <col min="7" max="7" width="20.25" bestFit="1" customWidth="1"/>
    <col min="8" max="8" width="2.625" customWidth="1"/>
    <col min="9" max="9" width="2.25" customWidth="1"/>
    <col min="10" max="10" width="19.625" customWidth="1"/>
    <col min="11" max="11" width="53.625" bestFit="1" customWidth="1"/>
    <col min="12" max="12" width="20.125" bestFit="1" customWidth="1"/>
    <col min="13" max="13" width="28.875" bestFit="1" customWidth="1"/>
    <col min="14" max="14" width="13.625" bestFit="1" customWidth="1"/>
    <col min="15" max="15" width="12.375" bestFit="1" customWidth="1"/>
    <col min="16" max="16" width="29.375" bestFit="1" customWidth="1"/>
    <col min="17" max="17" width="16.125" bestFit="1" customWidth="1"/>
    <col min="18" max="18" width="13.625" bestFit="1" customWidth="1"/>
    <col min="19" max="19" width="16.125" bestFit="1" customWidth="1"/>
    <col min="20" max="20" width="19.375" bestFit="1" customWidth="1"/>
    <col min="21" max="21" width="16.125" bestFit="1" customWidth="1"/>
    <col min="22" max="22" width="11.375" bestFit="1" customWidth="1"/>
    <col min="23" max="23" width="16.125" bestFit="1" customWidth="1"/>
    <col min="24" max="24" width="10.375" bestFit="1" customWidth="1"/>
    <col min="25" max="25" width="25.875" bestFit="1" customWidth="1"/>
    <col min="26" max="26" width="21.75" bestFit="1" customWidth="1"/>
    <col min="27" max="27" width="22.625" bestFit="1" customWidth="1"/>
    <col min="28" max="28" width="19.125" bestFit="1" customWidth="1"/>
    <col min="29" max="29" width="14.875" customWidth="1"/>
    <col min="30" max="30" width="11.5" bestFit="1" customWidth="1"/>
    <col min="31" max="31" width="12.125" bestFit="1" customWidth="1"/>
    <col min="34" max="34" width="14.875" bestFit="1" customWidth="1"/>
    <col min="35" max="35" width="11.125" bestFit="1" customWidth="1"/>
    <col min="36" max="36" width="17.375" bestFit="1" customWidth="1"/>
    <col min="37" max="37" width="18.5" bestFit="1" customWidth="1"/>
    <col min="40" max="40" width="20.625" bestFit="1" customWidth="1"/>
    <col min="41" max="41" width="26.375" bestFit="1" customWidth="1"/>
    <col min="45" max="45" width="19.125" bestFit="1" customWidth="1"/>
    <col min="46" max="46" width="11.625" bestFit="1" customWidth="1"/>
    <col min="47" max="47" width="11.875" bestFit="1" customWidth="1"/>
    <col min="48" max="48" width="10.625" bestFit="1" customWidth="1"/>
    <col min="50" max="50" width="11.5" bestFit="1" customWidth="1"/>
  </cols>
  <sheetData>
    <row r="1" spans="1:50" x14ac:dyDescent="0.3">
      <c r="A1" s="4"/>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row>
    <row r="2" spans="1:50" ht="59.25" x14ac:dyDescent="0.9">
      <c r="A2" s="4"/>
      <c r="B2" s="19" t="s">
        <v>0</v>
      </c>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row>
    <row r="3" spans="1:50" x14ac:dyDescent="0.3">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row>
    <row r="4" spans="1:50" x14ac:dyDescent="0.3">
      <c r="AN4" s="24" t="s">
        <v>37</v>
      </c>
      <c r="AO4" s="7">
        <f>IFERROR(INDEX(AO9:AO14,MATCH(9.99999999999999E+307,AO9:AO14)),0)</f>
        <v>9848.5499999999993</v>
      </c>
    </row>
    <row r="5" spans="1:50" ht="17.25" thickBot="1" x14ac:dyDescent="0.35">
      <c r="P5" s="1" t="s">
        <v>4</v>
      </c>
      <c r="Q5" t="s">
        <v>13</v>
      </c>
      <c r="AB5" s="18" t="s">
        <v>15</v>
      </c>
      <c r="AC5" s="18" t="s">
        <v>18</v>
      </c>
    </row>
    <row r="6" spans="1:50" ht="17.25" thickBot="1" x14ac:dyDescent="0.35">
      <c r="P6" s="5" t="s">
        <v>38</v>
      </c>
      <c r="Q6" s="5"/>
      <c r="R6" s="5"/>
      <c r="S6" s="5"/>
      <c r="U6" s="1" t="s">
        <v>4</v>
      </c>
      <c r="V6" t="s">
        <v>20</v>
      </c>
      <c r="X6" s="1" t="s">
        <v>4</v>
      </c>
      <c r="Y6" t="s">
        <v>20</v>
      </c>
      <c r="AA6" s="25" t="s">
        <v>39</v>
      </c>
      <c r="AB6" s="26">
        <f>IFERROR((GETPIVOTDATA("VlrReceita",$AA$8,"Status Pgto","Previsto")*100)/GETPIVOTDATA("VlrReceita",$AA$8),0)</f>
        <v>3.863379161458925</v>
      </c>
      <c r="AC6" s="26">
        <f>IFERROR((GETPIVOTDATA("VlrReceita",$AA$8,"Status Pgto","Realizado")*100)/GETPIVOTDATA("VlrReceita",$AA$8),0)</f>
        <v>96.136620838541077</v>
      </c>
      <c r="AH6" s="1" t="s">
        <v>4</v>
      </c>
      <c r="AI6" t="s">
        <v>19</v>
      </c>
      <c r="AN6" s="1" t="s">
        <v>5</v>
      </c>
      <c r="AO6" t="s">
        <v>22</v>
      </c>
      <c r="AR6" s="1" t="s">
        <v>40</v>
      </c>
      <c r="AS6" s="1" t="s">
        <v>66</v>
      </c>
      <c r="AW6" s="13" t="s">
        <v>41</v>
      </c>
      <c r="AX6" s="13" t="s">
        <v>42</v>
      </c>
    </row>
    <row r="7" spans="1:50" x14ac:dyDescent="0.3">
      <c r="P7" s="1" t="s">
        <v>64</v>
      </c>
      <c r="Q7" t="s">
        <v>43</v>
      </c>
      <c r="R7" t="s">
        <v>44</v>
      </c>
      <c r="U7" s="5" t="s">
        <v>45</v>
      </c>
      <c r="V7" s="5"/>
      <c r="X7" s="5" t="s">
        <v>46</v>
      </c>
      <c r="Y7" s="5"/>
      <c r="AA7" s="5" t="s">
        <v>47</v>
      </c>
      <c r="AB7" s="5"/>
      <c r="AC7" s="5"/>
      <c r="AD7" s="5"/>
      <c r="AH7" s="20" t="s">
        <v>48</v>
      </c>
      <c r="AI7" s="20"/>
      <c r="AN7" s="21" t="s">
        <v>49</v>
      </c>
      <c r="AO7" s="21"/>
      <c r="AR7" s="1" t="s">
        <v>64</v>
      </c>
      <c r="AS7" t="s">
        <v>36</v>
      </c>
      <c r="AT7" t="s">
        <v>114</v>
      </c>
      <c r="AU7" t="s">
        <v>65</v>
      </c>
      <c r="AV7" s="30">
        <f>MIN(Tb_Emprestimos[MÊS REF])</f>
        <v>46239</v>
      </c>
      <c r="AW7" s="31" t="str">
        <f>CHOOSE(MONTH(AV7),"Jan","Fev","Mar","Abr","Mai","Jun","Jul","Ago","Set","Out","Nov","Dez")&amp;"/"&amp;RIGHT(YEAR(AV7),2)</f>
        <v>Ago/26</v>
      </c>
      <c r="AX7" s="14">
        <f>SUMIFS(Tb_Emprestimos[Sld Devedor],Tb_Emprestimos[MÊS REF],AV7)</f>
        <v>55750</v>
      </c>
    </row>
    <row r="8" spans="1:50" x14ac:dyDescent="0.3">
      <c r="B8" s="5" t="s">
        <v>50</v>
      </c>
      <c r="C8" s="5"/>
      <c r="F8" s="5" t="s">
        <v>51</v>
      </c>
      <c r="G8" s="5"/>
      <c r="J8" s="5" t="s">
        <v>52</v>
      </c>
      <c r="K8" s="5"/>
      <c r="L8" s="5"/>
      <c r="M8" s="5"/>
      <c r="P8" s="2" t="s">
        <v>14</v>
      </c>
      <c r="Q8" s="27">
        <v>46200</v>
      </c>
      <c r="R8" s="28">
        <v>0.83990455630042038</v>
      </c>
      <c r="U8" s="1" t="s">
        <v>64</v>
      </c>
      <c r="V8" t="s">
        <v>53</v>
      </c>
      <c r="X8" s="1" t="s">
        <v>64</v>
      </c>
      <c r="Y8" t="s">
        <v>54</v>
      </c>
      <c r="AA8" s="1" t="s">
        <v>43</v>
      </c>
      <c r="AB8" s="1" t="s">
        <v>66</v>
      </c>
      <c r="AH8" s="1" t="s">
        <v>64</v>
      </c>
      <c r="AI8" t="s">
        <v>115</v>
      </c>
      <c r="AN8" s="1" t="s">
        <v>64</v>
      </c>
      <c r="AO8" t="s">
        <v>54</v>
      </c>
      <c r="AR8" s="23">
        <v>46239</v>
      </c>
      <c r="AS8" s="7">
        <v>24300</v>
      </c>
      <c r="AT8" s="7">
        <v>31450</v>
      </c>
      <c r="AU8" s="7">
        <v>55750</v>
      </c>
      <c r="AV8" s="30">
        <f>EDATE(AV7,1)</f>
        <v>46270</v>
      </c>
      <c r="AW8" s="31" t="str">
        <f>CHOOSE(MONTH(AV8),"Jan","Fev","Mar","Abr","Mai","Jun","Jul","Ago","Set","Out","Nov","Dez")&amp;"/"&amp;RIGHT(YEAR(AV8),2)</f>
        <v>Set/26</v>
      </c>
      <c r="AX8" s="14">
        <f>SUMIFS(Tb_Emprestimos[Sld Devedor],Tb_Emprestimos[MÊS REF],AV8)</f>
        <v>54657</v>
      </c>
    </row>
    <row r="9" spans="1:50" x14ac:dyDescent="0.3">
      <c r="B9" s="1" t="s">
        <v>55</v>
      </c>
      <c r="C9" t="s">
        <v>43</v>
      </c>
      <c r="F9" s="1" t="s">
        <v>64</v>
      </c>
      <c r="G9" t="s">
        <v>54</v>
      </c>
      <c r="J9" s="1" t="s">
        <v>64</v>
      </c>
      <c r="K9" t="s">
        <v>43</v>
      </c>
      <c r="L9" t="s">
        <v>54</v>
      </c>
      <c r="M9" t="s">
        <v>56</v>
      </c>
      <c r="P9" s="2" t="s">
        <v>16</v>
      </c>
      <c r="Q9" s="27">
        <v>5350</v>
      </c>
      <c r="R9" s="28">
        <v>9.7261674809680718E-2</v>
      </c>
      <c r="U9" s="2" t="s">
        <v>22</v>
      </c>
      <c r="V9" s="16">
        <v>0.24026713832642102</v>
      </c>
      <c r="X9" s="2" t="s">
        <v>22</v>
      </c>
      <c r="Y9" s="7">
        <v>9848.5499999999993</v>
      </c>
      <c r="AA9" s="1" t="s">
        <v>64</v>
      </c>
      <c r="AB9" t="s">
        <v>15</v>
      </c>
      <c r="AC9" t="s">
        <v>18</v>
      </c>
      <c r="AD9" t="s">
        <v>65</v>
      </c>
      <c r="AF9" s="7"/>
      <c r="AG9" s="7"/>
      <c r="AH9" s="6">
        <v>46235</v>
      </c>
      <c r="AI9" s="29">
        <v>1500</v>
      </c>
      <c r="AN9" s="6">
        <v>46235</v>
      </c>
      <c r="AO9" s="7">
        <v>3184.6</v>
      </c>
      <c r="AR9" s="23">
        <v>46270</v>
      </c>
      <c r="AS9" s="7">
        <v>23933</v>
      </c>
      <c r="AT9" s="7">
        <v>30724</v>
      </c>
      <c r="AU9" s="7">
        <v>54657</v>
      </c>
      <c r="AV9" s="30">
        <f>EDATE(AV8,1)</f>
        <v>46300</v>
      </c>
      <c r="AW9" s="31" t="str">
        <f>CHOOSE(MONTH(AV9),"Jan","Fev","Mar","Abr","Mai","Jun","Jul","Ago","Set","Out","Nov","Dez")&amp;"/"&amp;RIGHT(YEAR(AV9),2)</f>
        <v>Out/26</v>
      </c>
      <c r="AX9" s="14">
        <f>SUMIFS(Tb_Emprestimos[Sld Devedor],Tb_Emprestimos[MÊS REF],AV9)</f>
        <v>53549</v>
      </c>
    </row>
    <row r="10" spans="1:50" x14ac:dyDescent="0.3">
      <c r="B10" s="6">
        <v>46235</v>
      </c>
      <c r="C10" s="3">
        <v>19662.400000000001</v>
      </c>
      <c r="F10" s="6">
        <v>46235</v>
      </c>
      <c r="G10" s="3">
        <v>15763.249999999998</v>
      </c>
      <c r="J10" s="6">
        <v>46235</v>
      </c>
      <c r="K10" s="7">
        <v>19662.400000000001</v>
      </c>
      <c r="L10" s="7">
        <v>15763.249999999998</v>
      </c>
      <c r="M10" s="7">
        <v>3899.1500000000033</v>
      </c>
      <c r="P10" s="2" t="s">
        <v>17</v>
      </c>
      <c r="Q10" s="7">
        <v>2500</v>
      </c>
      <c r="R10" s="17">
        <v>4.5449380752187254E-2</v>
      </c>
      <c r="U10" s="2" t="s">
        <v>100</v>
      </c>
      <c r="V10" s="15">
        <v>0.23420346425957547</v>
      </c>
      <c r="X10" s="2" t="s">
        <v>100</v>
      </c>
      <c r="Y10" s="7">
        <v>9600</v>
      </c>
      <c r="AA10" s="6">
        <v>46235</v>
      </c>
      <c r="AB10" s="7"/>
      <c r="AC10" s="7">
        <v>19662.400000000001</v>
      </c>
      <c r="AD10" s="7">
        <v>19662.400000000001</v>
      </c>
      <c r="AF10" s="7"/>
      <c r="AG10" s="7"/>
      <c r="AH10" s="6">
        <v>46266</v>
      </c>
      <c r="AI10" s="29">
        <v>1500</v>
      </c>
      <c r="AN10" s="6">
        <v>46266</v>
      </c>
      <c r="AO10" s="7">
        <v>3402.15</v>
      </c>
      <c r="AR10" s="23">
        <v>46300</v>
      </c>
      <c r="AS10" s="7">
        <v>23560</v>
      </c>
      <c r="AT10" s="7">
        <v>29989</v>
      </c>
      <c r="AU10" s="7">
        <v>53549</v>
      </c>
      <c r="AW10" s="22"/>
      <c r="AX10" s="14"/>
    </row>
    <row r="11" spans="1:50" x14ac:dyDescent="0.3">
      <c r="B11" s="6">
        <v>46266</v>
      </c>
      <c r="C11" s="3">
        <v>17818.75</v>
      </c>
      <c r="F11" s="6">
        <v>46266</v>
      </c>
      <c r="G11" s="3">
        <v>15955.249999999998</v>
      </c>
      <c r="J11" s="6">
        <v>46266</v>
      </c>
      <c r="K11" s="7">
        <v>17818.75</v>
      </c>
      <c r="L11" s="7">
        <v>15955.249999999998</v>
      </c>
      <c r="M11" s="7">
        <v>1863.5000000000018</v>
      </c>
      <c r="P11" s="2" t="s">
        <v>75</v>
      </c>
      <c r="Q11" s="7">
        <v>956.25</v>
      </c>
      <c r="R11" s="17">
        <v>1.7384388137711624E-2</v>
      </c>
      <c r="U11" s="2" t="s">
        <v>85</v>
      </c>
      <c r="V11" s="15">
        <v>0.14125396438155646</v>
      </c>
      <c r="X11" s="2" t="s">
        <v>85</v>
      </c>
      <c r="Y11" s="7">
        <v>5790</v>
      </c>
      <c r="AA11" s="6">
        <v>46266</v>
      </c>
      <c r="AB11" s="7"/>
      <c r="AC11" s="7">
        <v>17818.75</v>
      </c>
      <c r="AD11" s="7">
        <v>17818.75</v>
      </c>
      <c r="AF11" s="7"/>
      <c r="AG11" s="7"/>
      <c r="AH11" s="6">
        <v>46296</v>
      </c>
      <c r="AI11" s="29">
        <v>1500</v>
      </c>
      <c r="AN11" s="6">
        <v>46296</v>
      </c>
      <c r="AO11" s="7">
        <v>3261.8</v>
      </c>
      <c r="AW11" s="22"/>
      <c r="AX11" s="14"/>
    </row>
    <row r="12" spans="1:50" x14ac:dyDescent="0.3">
      <c r="B12" s="6">
        <v>46296</v>
      </c>
      <c r="C12" s="3">
        <v>17525.099999999999</v>
      </c>
      <c r="F12" s="6">
        <v>46296</v>
      </c>
      <c r="G12" s="3">
        <v>15912.249999999996</v>
      </c>
      <c r="J12" s="6">
        <v>46296</v>
      </c>
      <c r="K12" s="7">
        <v>17525.099999999999</v>
      </c>
      <c r="L12" s="7">
        <v>15912.249999999996</v>
      </c>
      <c r="M12" s="7">
        <v>1612.8500000000022</v>
      </c>
      <c r="P12" s="2" t="s">
        <v>65</v>
      </c>
      <c r="Q12" s="7">
        <v>55006.25</v>
      </c>
      <c r="R12" s="17">
        <v>1</v>
      </c>
      <c r="U12" s="2" t="s">
        <v>81</v>
      </c>
      <c r="V12" s="15">
        <v>0.13095267138326419</v>
      </c>
      <c r="X12" s="2" t="s">
        <v>81</v>
      </c>
      <c r="Y12" s="7">
        <v>5367.75</v>
      </c>
      <c r="AA12" s="6">
        <v>46296</v>
      </c>
      <c r="AB12" s="7">
        <v>2125.1</v>
      </c>
      <c r="AC12" s="7">
        <v>15400</v>
      </c>
      <c r="AD12" s="7">
        <v>17525.099999999999</v>
      </c>
      <c r="AF12" s="7"/>
      <c r="AG12" s="7"/>
      <c r="AH12" s="6" t="s">
        <v>65</v>
      </c>
      <c r="AI12" s="29">
        <v>4500</v>
      </c>
      <c r="AN12" s="6" t="s">
        <v>65</v>
      </c>
      <c r="AO12" s="7">
        <v>9848.5499999999993</v>
      </c>
      <c r="AW12" s="13"/>
      <c r="AX12" s="13"/>
    </row>
    <row r="13" spans="1:50" x14ac:dyDescent="0.3">
      <c r="B13" s="6" t="s">
        <v>65</v>
      </c>
      <c r="C13" s="3">
        <v>55006.25</v>
      </c>
      <c r="F13" s="6" t="s">
        <v>65</v>
      </c>
      <c r="G13" s="3">
        <v>47630.749999999993</v>
      </c>
      <c r="J13" s="6" t="s">
        <v>65</v>
      </c>
      <c r="K13" s="7">
        <v>55006.25</v>
      </c>
      <c r="L13" s="7">
        <v>47630.749999999993</v>
      </c>
      <c r="M13" s="7">
        <v>7375.4999999999709</v>
      </c>
      <c r="U13" s="2" t="s">
        <v>95</v>
      </c>
      <c r="V13" s="15">
        <v>6.0114662112710403E-2</v>
      </c>
      <c r="X13" s="2" t="s">
        <v>95</v>
      </c>
      <c r="Y13" s="7">
        <v>2464.1</v>
      </c>
      <c r="AA13" s="6" t="s">
        <v>65</v>
      </c>
      <c r="AB13" s="7">
        <v>2125.1</v>
      </c>
      <c r="AC13" s="7">
        <v>52881.15</v>
      </c>
      <c r="AD13" s="7">
        <v>55006.25</v>
      </c>
      <c r="AF13" s="7"/>
      <c r="AG13" s="7"/>
      <c r="AW13" s="13"/>
      <c r="AX13" s="13"/>
    </row>
    <row r="14" spans="1:50" x14ac:dyDescent="0.3">
      <c r="U14" s="2" t="s">
        <v>27</v>
      </c>
      <c r="V14" s="16">
        <v>5.7453037326177105E-2</v>
      </c>
      <c r="X14" s="2" t="s">
        <v>27</v>
      </c>
      <c r="Y14" s="7">
        <v>2355</v>
      </c>
      <c r="AF14" s="7"/>
      <c r="AG14" s="7"/>
      <c r="AW14" s="13"/>
      <c r="AX14" s="13"/>
    </row>
    <row r="15" spans="1:50" x14ac:dyDescent="0.3">
      <c r="P15" s="2"/>
      <c r="Q15" s="7"/>
      <c r="R15" s="17"/>
      <c r="U15" s="2" t="s">
        <v>91</v>
      </c>
      <c r="V15" s="15">
        <v>5.140766040497681E-2</v>
      </c>
      <c r="X15" s="2" t="s">
        <v>91</v>
      </c>
      <c r="Y15" s="7">
        <v>2107.1999999999998</v>
      </c>
      <c r="AF15" s="7"/>
      <c r="AG15" s="7"/>
    </row>
    <row r="16" spans="1:50" x14ac:dyDescent="0.3">
      <c r="R16" s="17"/>
      <c r="U16" s="2" t="s">
        <v>93</v>
      </c>
      <c r="V16" s="15">
        <v>3.1105147596974865E-2</v>
      </c>
      <c r="X16" s="2" t="s">
        <v>93</v>
      </c>
      <c r="Y16" s="7">
        <v>1275</v>
      </c>
    </row>
    <row r="17" spans="2:25" x14ac:dyDescent="0.3">
      <c r="R17" s="17"/>
      <c r="U17" s="2" t="s">
        <v>98</v>
      </c>
      <c r="V17" s="15">
        <v>2.7811661380824585E-2</v>
      </c>
      <c r="X17" s="2" t="s">
        <v>98</v>
      </c>
      <c r="Y17" s="7">
        <v>1140</v>
      </c>
    </row>
    <row r="18" spans="2:25" x14ac:dyDescent="0.3">
      <c r="B18" s="6"/>
      <c r="C18" s="3"/>
      <c r="F18" s="6"/>
      <c r="G18" s="3"/>
      <c r="J18" s="6"/>
      <c r="K18" s="7"/>
      <c r="L18" s="7"/>
      <c r="M18" s="7"/>
      <c r="R18" s="17"/>
      <c r="U18" s="2" t="s">
        <v>104</v>
      </c>
      <c r="V18" s="15">
        <v>2.5430592827518906E-2</v>
      </c>
      <c r="X18" s="2" t="s">
        <v>104</v>
      </c>
      <c r="Y18" s="7">
        <v>1042.4000000000001</v>
      </c>
    </row>
    <row r="19" spans="2:25" x14ac:dyDescent="0.3">
      <c r="B19" s="6"/>
      <c r="C19" s="3"/>
      <c r="F19" s="6"/>
      <c r="G19" s="3"/>
      <c r="J19" s="6"/>
      <c r="K19" s="7"/>
      <c r="L19" s="7"/>
      <c r="M19" s="7"/>
      <c r="R19" s="17"/>
      <c r="U19" s="2" t="s">
        <v>65</v>
      </c>
      <c r="V19" s="15">
        <v>1</v>
      </c>
      <c r="X19" s="2" t="s">
        <v>65</v>
      </c>
      <c r="Y19" s="7">
        <v>40990</v>
      </c>
    </row>
    <row r="20" spans="2:25" x14ac:dyDescent="0.3">
      <c r="B20" s="6"/>
      <c r="C20" s="3"/>
      <c r="F20" s="6"/>
      <c r="G20" s="3"/>
      <c r="J20" s="6"/>
      <c r="K20" s="7"/>
      <c r="L20" s="7"/>
      <c r="M20" s="7"/>
      <c r="R20" s="17"/>
    </row>
    <row r="21" spans="2:25" x14ac:dyDescent="0.3">
      <c r="B21" s="6"/>
      <c r="C21" s="3"/>
      <c r="F21" s="6"/>
      <c r="G21" s="3"/>
      <c r="J21" s="6"/>
      <c r="K21" s="7"/>
      <c r="L21" s="7"/>
      <c r="M21" s="7"/>
      <c r="R21" s="17"/>
    </row>
    <row r="22" spans="2:25" x14ac:dyDescent="0.3">
      <c r="B22" s="6"/>
      <c r="C22" s="3"/>
      <c r="F22" s="6"/>
      <c r="G22" s="3"/>
      <c r="J22" s="6"/>
      <c r="K22" s="7"/>
      <c r="L22" s="7"/>
      <c r="M22" s="7"/>
      <c r="R22" s="17"/>
    </row>
    <row r="23" spans="2:25" x14ac:dyDescent="0.3">
      <c r="B23" s="6"/>
      <c r="C23" s="3"/>
      <c r="F23" s="6"/>
      <c r="G23" s="3"/>
      <c r="J23" s="6"/>
      <c r="K23" s="7"/>
      <c r="L23" s="7"/>
      <c r="M23" s="7"/>
      <c r="P23" s="2"/>
      <c r="Q23" s="7"/>
      <c r="R23" s="17"/>
    </row>
    <row r="24" spans="2:25" x14ac:dyDescent="0.3">
      <c r="B24" s="6"/>
      <c r="C24" s="3"/>
      <c r="F24" s="6"/>
      <c r="G24" s="3"/>
      <c r="J24" s="6"/>
      <c r="K24" s="7"/>
      <c r="L24" s="7"/>
      <c r="M24" s="7"/>
      <c r="P24" s="2"/>
      <c r="Q24" s="7"/>
      <c r="R24" s="17"/>
    </row>
    <row r="25" spans="2:25" x14ac:dyDescent="0.3">
      <c r="B25" s="6"/>
      <c r="C25" s="3"/>
      <c r="F25" s="6"/>
      <c r="G25" s="3"/>
      <c r="J25" s="6"/>
      <c r="K25" s="7"/>
      <c r="L25" s="7"/>
      <c r="M25" s="7"/>
      <c r="P25" s="2"/>
      <c r="Q25" s="7"/>
      <c r="R25" s="17"/>
    </row>
    <row r="26" spans="2:25" x14ac:dyDescent="0.3">
      <c r="B26" s="6"/>
      <c r="C26" s="3"/>
      <c r="F26" s="6"/>
      <c r="G26" s="3"/>
      <c r="J26" s="6"/>
      <c r="K26" s="7"/>
      <c r="L26" s="7"/>
      <c r="M26" s="7"/>
      <c r="P26" s="2"/>
      <c r="Q26" s="7"/>
      <c r="R26" s="17"/>
    </row>
    <row r="27" spans="2:25" x14ac:dyDescent="0.3">
      <c r="B27" s="6"/>
      <c r="C27" s="3"/>
      <c r="F27" s="6"/>
      <c r="G27" s="3"/>
      <c r="J27" s="6"/>
      <c r="K27" s="7"/>
      <c r="L27" s="7"/>
      <c r="M27" s="7"/>
      <c r="P27" s="2"/>
      <c r="Q27" s="7"/>
      <c r="R27" s="17"/>
    </row>
    <row r="28" spans="2:25" x14ac:dyDescent="0.3">
      <c r="B28" s="6"/>
      <c r="C28" s="3"/>
      <c r="F28" s="6"/>
      <c r="G28" s="3"/>
      <c r="J28" s="6"/>
      <c r="K28" s="7"/>
      <c r="L28" s="7"/>
      <c r="M28" s="7"/>
      <c r="P28" s="2"/>
      <c r="Q28" s="7"/>
      <c r="R28" s="17"/>
    </row>
    <row r="29" spans="2:25" x14ac:dyDescent="0.3">
      <c r="B29" s="6"/>
      <c r="C29" s="3"/>
      <c r="F29" s="6"/>
      <c r="G29" s="3"/>
      <c r="J29" s="6"/>
      <c r="K29" s="7"/>
      <c r="L29" s="7"/>
      <c r="M29" s="7"/>
      <c r="P29" s="2"/>
      <c r="Q29" s="7"/>
      <c r="R29" s="17"/>
    </row>
    <row r="30" spans="2:25" x14ac:dyDescent="0.3">
      <c r="B30" s="6"/>
      <c r="C30" s="3"/>
      <c r="F30" s="6"/>
      <c r="G30" s="3"/>
      <c r="J30" s="6"/>
      <c r="K30" s="7"/>
      <c r="L30" s="7"/>
      <c r="M30" s="7"/>
      <c r="P30" s="2"/>
      <c r="Q30" s="7"/>
      <c r="R30" s="17"/>
    </row>
    <row r="31" spans="2:25" x14ac:dyDescent="0.3">
      <c r="B31" s="6"/>
      <c r="C31" s="3"/>
      <c r="F31" s="6"/>
      <c r="G31" s="3"/>
      <c r="J31" s="6"/>
      <c r="K31" s="7"/>
      <c r="L31" s="7"/>
      <c r="M31" s="7"/>
      <c r="P31" s="2"/>
      <c r="Q31" s="7"/>
      <c r="R31" s="17"/>
    </row>
    <row r="32" spans="2:25" x14ac:dyDescent="0.3">
      <c r="B32" s="6"/>
      <c r="C32" s="3"/>
      <c r="F32" s="6"/>
      <c r="G32" s="3"/>
      <c r="J32" s="6"/>
      <c r="K32" s="7"/>
      <c r="L32" s="7"/>
      <c r="M32" s="7"/>
      <c r="P32" s="2"/>
      <c r="Q32" s="7"/>
      <c r="R32" s="17"/>
    </row>
    <row r="33" spans="2:18" x14ac:dyDescent="0.3">
      <c r="B33" s="6"/>
      <c r="C33" s="3"/>
      <c r="F33" s="6"/>
      <c r="G33" s="3"/>
      <c r="J33" s="6"/>
      <c r="K33" s="7"/>
      <c r="L33" s="7"/>
      <c r="M33" s="7"/>
      <c r="P33" s="2"/>
      <c r="Q33" s="7"/>
      <c r="R33" s="17"/>
    </row>
    <row r="34" spans="2:18" x14ac:dyDescent="0.3">
      <c r="B34" s="6"/>
      <c r="C34" s="3"/>
      <c r="F34" s="6"/>
      <c r="G34" s="3"/>
      <c r="J34" s="6"/>
      <c r="K34" s="7"/>
      <c r="L34" s="7"/>
      <c r="M34" s="7"/>
      <c r="P34" s="2"/>
      <c r="Q34" s="7"/>
      <c r="R34" s="17"/>
    </row>
    <row r="35" spans="2:18" x14ac:dyDescent="0.3">
      <c r="B35" s="6"/>
      <c r="C35" s="3"/>
      <c r="F35" s="6"/>
      <c r="G35" s="3"/>
      <c r="J35" s="6"/>
      <c r="K35" s="7"/>
      <c r="L35" s="7"/>
      <c r="M35" s="7"/>
      <c r="P35" s="2"/>
      <c r="Q35" s="7"/>
      <c r="R35" s="17"/>
    </row>
    <row r="50" spans="16:35" x14ac:dyDescent="0.3">
      <c r="AA50" s="18"/>
    </row>
    <row r="51" spans="16:35" x14ac:dyDescent="0.3">
      <c r="P51" s="5" t="s">
        <v>57</v>
      </c>
      <c r="Q51" s="5"/>
      <c r="AA51" s="1" t="s">
        <v>54</v>
      </c>
      <c r="AB51" s="1" t="s">
        <v>66</v>
      </c>
    </row>
    <row r="52" spans="16:35" x14ac:dyDescent="0.3">
      <c r="P52" s="8" t="s">
        <v>58</v>
      </c>
      <c r="Q52" s="9">
        <f>GETPIVOTDATA("VlrReceita",$B$9)</f>
        <v>55006.25</v>
      </c>
      <c r="AA52" s="1" t="s">
        <v>64</v>
      </c>
      <c r="AB52" t="s">
        <v>15</v>
      </c>
      <c r="AC52" t="s">
        <v>18</v>
      </c>
      <c r="AD52" t="s">
        <v>65</v>
      </c>
    </row>
    <row r="53" spans="16:35" x14ac:dyDescent="0.3">
      <c r="P53" s="8" t="s">
        <v>59</v>
      </c>
      <c r="Q53" s="10">
        <f>GETPIVOTDATA("VlrDespesa",$F$9)</f>
        <v>47630.749999999993</v>
      </c>
      <c r="AA53" s="6">
        <v>46235</v>
      </c>
      <c r="AB53" s="7"/>
      <c r="AC53" s="7">
        <v>15763.249999999998</v>
      </c>
      <c r="AD53" s="7">
        <v>15763.249999999998</v>
      </c>
      <c r="AF53" s="7"/>
      <c r="AG53" s="7"/>
      <c r="AH53" s="7"/>
      <c r="AI53" s="7"/>
    </row>
    <row r="54" spans="16:35" x14ac:dyDescent="0.3">
      <c r="AA54" s="6">
        <v>46266</v>
      </c>
      <c r="AB54" s="7"/>
      <c r="AC54" s="7">
        <v>15955.249999999998</v>
      </c>
      <c r="AD54" s="7">
        <v>15955.249999999998</v>
      </c>
      <c r="AF54" s="7"/>
      <c r="AG54" s="7"/>
      <c r="AH54" s="7"/>
      <c r="AI54" s="7"/>
    </row>
    <row r="55" spans="16:35" x14ac:dyDescent="0.3">
      <c r="P55" s="8" t="s">
        <v>60</v>
      </c>
      <c r="Q55" s="14">
        <f>GETPIVOTDATA("VlrDespesa",$AA$51,"Status Pgto","Realizado")</f>
        <v>34361.049999999996</v>
      </c>
      <c r="AA55" s="6">
        <v>46296</v>
      </c>
      <c r="AB55" s="7">
        <v>13269.7</v>
      </c>
      <c r="AC55" s="7">
        <v>2642.55</v>
      </c>
      <c r="AD55" s="7">
        <v>15912.25</v>
      </c>
      <c r="AF55" s="7"/>
      <c r="AG55" s="7"/>
      <c r="AH55" s="7"/>
      <c r="AI55" s="7"/>
    </row>
    <row r="56" spans="16:35" ht="17.25" thickBot="1" x14ac:dyDescent="0.35">
      <c r="P56" s="8" t="s">
        <v>61</v>
      </c>
      <c r="Q56" s="14">
        <f>IFERROR(GETPIVOTDATA("VlrDespesa",$AA$51,"Status Pgto","Previsto"),0)</f>
        <v>13269.7</v>
      </c>
      <c r="AA56" s="6" t="s">
        <v>65</v>
      </c>
      <c r="AB56" s="7">
        <v>13269.7</v>
      </c>
      <c r="AC56" s="7">
        <v>34361.049999999996</v>
      </c>
      <c r="AD56" s="7">
        <v>47630.75</v>
      </c>
      <c r="AF56" s="7"/>
      <c r="AG56" s="7"/>
      <c r="AH56" s="7"/>
      <c r="AI56" s="7"/>
    </row>
    <row r="57" spans="16:35" x14ac:dyDescent="0.3">
      <c r="P57" s="11" t="s">
        <v>62</v>
      </c>
      <c r="Q57" s="12">
        <f>GETPIVOTDATA("VlrReceita",$B$9)-Q55</f>
        <v>20645.200000000004</v>
      </c>
      <c r="AF57" s="7"/>
      <c r="AG57" s="7"/>
      <c r="AH57" s="7"/>
      <c r="AI57" s="7"/>
    </row>
    <row r="58" spans="16:35" x14ac:dyDescent="0.3">
      <c r="AF58" s="7"/>
      <c r="AG58" s="7"/>
      <c r="AH58" s="7"/>
      <c r="AI58" s="7"/>
    </row>
    <row r="59" spans="16:35" x14ac:dyDescent="0.3">
      <c r="AF59" s="7"/>
      <c r="AG59" s="7"/>
      <c r="AH59" s="7"/>
      <c r="AI59" s="7"/>
    </row>
  </sheetData>
  <pageMargins left="0.511811024" right="0.511811024" top="0.78740157499999996" bottom="0.78740157499999996" header="0.31496062000000002" footer="0.31496062000000002"/>
  <drawing r:id="rId12"/>
  <legacyDrawing r:id="rId13"/>
  <mc:AlternateContent xmlns:mc="http://schemas.openxmlformats.org/markup-compatibility/2006">
    <mc:Choice Requires="x14">
      <controls>
        <mc:AlternateContent xmlns:mc="http://schemas.openxmlformats.org/markup-compatibility/2006">
          <mc:Choice Requires="x14">
            <control shapeId="6145" r:id="rId14" name="Button 1">
              <controlPr defaultSize="0" print="0" autoFill="0" autoPict="0" macro="[0]!Atualiza_BD.M_AtualizaBD_Corrigido">
                <anchor moveWithCells="1" sizeWithCells="1">
                  <from>
                    <xdr:col>0</xdr:col>
                    <xdr:colOff>85725</xdr:colOff>
                    <xdr:row>2</xdr:row>
                    <xdr:rowOff>123825</xdr:rowOff>
                  </from>
                  <to>
                    <xdr:col>3</xdr:col>
                    <xdr:colOff>361950</xdr:colOff>
                    <xdr:row>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B8A7F-E7A4-4B9B-B9AB-C28ED18F0AA7}">
  <dimension ref="A1:D21"/>
  <sheetViews>
    <sheetView workbookViewId="0"/>
  </sheetViews>
  <sheetFormatPr defaultRowHeight="16.5" x14ac:dyDescent="0.3"/>
  <cols>
    <col min="1" max="1" width="40.625" customWidth="1"/>
    <col min="2" max="2" width="20.625" customWidth="1"/>
  </cols>
  <sheetData>
    <row r="1" spans="1:4" x14ac:dyDescent="0.3">
      <c r="A1" s="18" t="s">
        <v>5</v>
      </c>
      <c r="B1" s="18" t="s">
        <v>9</v>
      </c>
      <c r="D1" t="s">
        <v>63</v>
      </c>
    </row>
    <row r="2" spans="1:4" x14ac:dyDescent="0.3">
      <c r="A2" t="s">
        <v>14</v>
      </c>
      <c r="B2" t="s">
        <v>70</v>
      </c>
    </row>
    <row r="3" spans="1:4" x14ac:dyDescent="0.3">
      <c r="A3" t="s">
        <v>16</v>
      </c>
      <c r="B3" t="s">
        <v>68</v>
      </c>
    </row>
    <row r="4" spans="1:4" x14ac:dyDescent="0.3">
      <c r="A4" t="s">
        <v>17</v>
      </c>
      <c r="B4" t="s">
        <v>77</v>
      </c>
    </row>
    <row r="5" spans="1:4" x14ac:dyDescent="0.3">
      <c r="A5" t="s">
        <v>75</v>
      </c>
    </row>
    <row r="6" spans="1:4" x14ac:dyDescent="0.3">
      <c r="A6" t="s">
        <v>28</v>
      </c>
    </row>
    <row r="7" spans="1:4" x14ac:dyDescent="0.3">
      <c r="A7" t="s">
        <v>100</v>
      </c>
    </row>
    <row r="8" spans="1:4" x14ac:dyDescent="0.3">
      <c r="A8" t="s">
        <v>27</v>
      </c>
    </row>
    <row r="9" spans="1:4" x14ac:dyDescent="0.3">
      <c r="A9" t="s">
        <v>25</v>
      </c>
    </row>
    <row r="10" spans="1:4" x14ac:dyDescent="0.3">
      <c r="A10" t="s">
        <v>23</v>
      </c>
    </row>
    <row r="11" spans="1:4" x14ac:dyDescent="0.3">
      <c r="A11" t="s">
        <v>24</v>
      </c>
    </row>
    <row r="12" spans="1:4" x14ac:dyDescent="0.3">
      <c r="A12" t="s">
        <v>26</v>
      </c>
    </row>
    <row r="13" spans="1:4" x14ac:dyDescent="0.3">
      <c r="A13" t="s">
        <v>81</v>
      </c>
    </row>
    <row r="14" spans="1:4" x14ac:dyDescent="0.3">
      <c r="A14" t="s">
        <v>93</v>
      </c>
    </row>
    <row r="15" spans="1:4" x14ac:dyDescent="0.3">
      <c r="A15" t="s">
        <v>91</v>
      </c>
    </row>
    <row r="16" spans="1:4" x14ac:dyDescent="0.3">
      <c r="A16" t="s">
        <v>95</v>
      </c>
    </row>
    <row r="17" spans="1:1" x14ac:dyDescent="0.3">
      <c r="A17" t="s">
        <v>98</v>
      </c>
    </row>
    <row r="18" spans="1:1" x14ac:dyDescent="0.3">
      <c r="A18" t="s">
        <v>104</v>
      </c>
    </row>
    <row r="19" spans="1:1" x14ac:dyDescent="0.3">
      <c r="A19" t="s">
        <v>21</v>
      </c>
    </row>
    <row r="20" spans="1:1" x14ac:dyDescent="0.3">
      <c r="A20" t="s">
        <v>85</v>
      </c>
    </row>
    <row r="21" spans="1:1" x14ac:dyDescent="0.3">
      <c r="A21" t="s">
        <v>22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1FFB4F3-CCA8-481F-A574-916A486B0CA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DASHBOARD</vt:lpstr>
      <vt:lpstr>LANCAMENTOS</vt:lpstr>
      <vt:lpstr>EMPRESTIMOS</vt:lpstr>
      <vt:lpstr>ANALISES</vt:lpstr>
      <vt:lpstr>Listas</vt:lpstr>
      <vt:lpstr>ListaCategoria</vt:lpstr>
      <vt:lpstr>ListaPessoas</vt:lpstr>
      <vt:lpstr>DASHBOARD!Print_Area</vt:lpstr>
      <vt:lpstr>LANCAMENTOS!Print_Titles</vt:lpstr>
      <vt:lpstr>Tb_cartoes</vt:lpstr>
      <vt:lpstr>tb_lancamentos</vt:lpstr>
      <vt:lpstr>tBase</vt:lpstr>
      <vt:lpstr>TIPO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2026-10-05T11:06:56Z</dcterms:created>
  <dcterms:modified xsi:type="dcterms:W3CDTF">2026-10-05T11:17:41Z</dcterms:modified>
  <cp:category/>
  <cp:contentStatus/>
</cp:coreProperties>
</file>